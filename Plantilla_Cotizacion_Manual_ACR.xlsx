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ción" state="visible" r:id="rId4"/>
  </sheets>
  <definedNames>
    <definedName name="_xlnm.Print_Area" localSheetId="0">'Cotización'!$A1:$F74</definedName>
    <definedName name="_xlnm.Print_Titles" localSheetId="0">'Cotización'!$1:$6</definedName>
  </definedNames>
  <calcPr calcId="171027"/>
</workbook>
</file>

<file path=xl/sharedStrings.xml><?xml version="1.0" encoding="utf-8"?>
<sst xmlns="http://schemas.openxmlformats.org/spreadsheetml/2006/main" count="93" uniqueCount="89">
  <si>
    <t>ACR NETWORKS &amp; SOLUTIONS, S.R.L.</t>
  </si>
  <si>
    <r>
      <rPr>
        <b/>
        <color rgb="FF94A3B8"/>
        <sz val="8.5"/>
        <rFont val="Calibri"/>
      </rPr>
      <t xml:space="preserve">RNC  </t>
    </r>
    <r>
      <rPr>
        <b/>
        <color rgb="FF0F172A"/>
        <sz val="11"/>
        <rFont val="Consolas"/>
      </rPr>
      <t>133692678</t>
    </r>
  </si>
  <si>
    <t>ACR NETWORKS</t>
  </si>
  <si>
    <r>
      <rPr>
        <b/>
        <color rgb="FF94A3B8"/>
        <sz val="8.5"/>
        <rFont val="Calibri"/>
      </rPr>
      <t xml:space="preserve">TEL  </t>
    </r>
    <r>
      <rPr>
        <color rgb="FF334155"/>
        <sz val="9"/>
        <rFont val="Consolas"/>
      </rPr>
      <t>849-458-9955 / 809-670-9956</t>
    </r>
  </si>
  <si>
    <t>Soluciones en Seguridad Electrónica, Redes y Soporte IT Corporativo</t>
  </si>
  <si>
    <r>
      <rPr>
        <b/>
        <color rgb="FF94A3B8"/>
        <sz val="8.5"/>
        <rFont val="Calibri"/>
      </rPr>
      <t xml:space="preserve">EMAIL  </t>
    </r>
    <r>
      <rPr>
        <color rgb="FF334155"/>
        <sz val="9"/>
        <rFont val="Calibri"/>
      </rPr>
      <t>acrnetworkssolutions@gmail.com</t>
    </r>
  </si>
  <si>
    <t/>
  </si>
  <si>
    <r>
      <rPr>
        <b/>
        <color rgb="FF94A3B8"/>
        <sz val="8.5"/>
        <rFont val="Calibri"/>
      </rPr>
      <t xml:space="preserve">WEB  </t>
    </r>
    <r>
      <rPr>
        <color rgb="FF1E40AF"/>
        <sz val="9"/>
        <rFont val="Calibri"/>
      </rPr>
      <t>https://acr-erp-noc.vercel.app/portal</t>
    </r>
  </si>
  <si>
    <t>COTIZACIÓN</t>
  </si>
  <si>
    <t>COT-914502</t>
  </si>
  <si>
    <r>
      <rPr>
        <color rgb="FF64748B"/>
        <sz val="9"/>
        <rFont val="Calibri"/>
      </rPr>
      <t xml:space="preserve">Emisión: </t>
    </r>
    <r>
      <rPr>
        <b/>
        <color rgb="FF0F172A"/>
        <sz val="9"/>
        <rFont val="Calibri"/>
      </rPr>
      <t>22/05/2026</t>
    </r>
    <r>
      <rPr>
        <color rgb="FF64748B"/>
        <sz val="9"/>
        <rFont val="Calibri"/>
      </rPr>
      <t xml:space="preserve">  ·  Válida hasta: </t>
    </r>
    <r>
      <rPr>
        <b/>
        <color rgb="FF0F172A"/>
        <sz val="9"/>
        <rFont val="Calibri"/>
      </rPr>
      <t>21/06/2026</t>
    </r>
  </si>
  <si>
    <t>Borrador</t>
  </si>
  <si>
    <t>C L I E N T E</t>
  </si>
  <si>
    <t>RAZÓN SOCIAL</t>
  </si>
  <si>
    <t>CONTACTO</t>
  </si>
  <si>
    <t>DIRECCIÓN</t>
  </si>
  <si>
    <t>Escuela Benito Juárez</t>
  </si>
  <si>
    <t>—</t>
  </si>
  <si>
    <t>D E T A L L E   D E   P R O D U C T O S   Y   S E R V I C I O S</t>
  </si>
  <si>
    <t>#</t>
  </si>
  <si>
    <t>CÓDIGO</t>
  </si>
  <si>
    <t>DESCRIPCIÓN</t>
  </si>
  <si>
    <t>CANT.</t>
  </si>
  <si>
    <t xml:space="preserve">PRECIO
UNIT.</t>
  </si>
  <si>
    <t>IMPORTE</t>
  </si>
  <si>
    <t>CCTV-DAH-HFW1839T</t>
  </si>
  <si>
    <t>Cámara IP Dahua 4K 8MP IPC-HFW1839T1-LED tipo bullet ColorVu 2.8mm</t>
  </si>
  <si>
    <t>CCTV-DAH-NVR5232</t>
  </si>
  <si>
    <t>NVR Dahua 32 Canales NVR5232-EI 4K H.265+ con AI (rostros + cruce de línea)</t>
  </si>
  <si>
    <t>STORAGE-WD-8TB-PURPLE</t>
  </si>
  <si>
    <t>Disco duro Western Digital Purple 8TB Surveillance WD84PURZ</t>
  </si>
  <si>
    <t>NET-UBQ-USW-24-POE</t>
  </si>
  <si>
    <t>Switch UniFi USW-24-POE 24-puerto gigabit con 16 PoE+ (250W total)</t>
  </si>
  <si>
    <t>NET-UBQ-USW-LITE-8</t>
  </si>
  <si>
    <t>Switch UniFi USW-Lite-8-POE 8-puerto gigabit con 4 PoE+ (52W)</t>
  </si>
  <si>
    <t>FO-DROP-2H-1000M</t>
  </si>
  <si>
    <t>Bobina Fibra Óptica Drop 2 Hilos SM G657A1 1000m (interplanta entre edificios)</t>
  </si>
  <si>
    <t>NET-CAB-UTP6-305M</t>
  </si>
  <si>
    <t>Bobina Cable UTP Cat6 305m exterior (gel-filled) para tendido entre cámaras y rack</t>
  </si>
  <si>
    <t>NET-RJ45-CAT6-PACK100</t>
  </si>
  <si>
    <t>Conectores RJ45 Cat6 blindados pack×100 con bota anti-tirón</t>
  </si>
  <si>
    <t>NET-RACK-12U</t>
  </si>
  <si>
    <t>Rack mural 12U 600mm con organizador y bandeja para NVR + switches</t>
  </si>
  <si>
    <t>POWER-UPS-3KVA</t>
  </si>
  <si>
    <t>UPS APC SmartConnect 3000VA online con respaldo 2h al rack principal</t>
  </si>
  <si>
    <t>SVC-INSTALACION</t>
  </si>
  <si>
    <t xml:space="preserve">Servicio técnico
instalación · configuración remota DMSS · programación AI y entrega final con planos as-built</t>
  </si>
  <si>
    <t>SVC-CAPACITACION</t>
  </si>
  <si>
    <t>Capacitación 2 horas presencial al personal designado (uso de NVR, exportación de video, alertas móvil)</t>
  </si>
  <si>
    <t>Subtotal</t>
  </si>
  <si>
    <t>ITBIS (18%)</t>
  </si>
  <si>
    <t>Total Neto</t>
  </si>
  <si>
    <t>CONDICIONES GENERALES</t>
  </si>
  <si>
    <t>Esta cotización tiene carácter informativo y no constituye documento fiscal. Los precios pueden estar sujetos a cambio sin previo aviso fuera del período de validez. Para emisión de factura formal se requiere confirmación por escrito.</t>
  </si>
  <si>
    <r>
      <rPr>
        <b/>
        <color rgb="FF64748B"/>
        <sz val="7.5"/>
        <rFont val="Calibri"/>
      </rPr>
      <t>VALIDEZ</t>
    </r>
    <r>
      <rPr>
        <sz val="4"/>
        <rFont val="Calibri"/>
      </rPr>
      <t xml:space="preserve">
</t>
    </r>
    <r>
      <rPr>
        <b/>
        <color rgb="FF0F172A"/>
        <sz val="9"/>
        <rFont val="Calibri"/>
      </rPr>
      <t>Esta cotización es válida por 15 días calendarios.</t>
    </r>
  </si>
  <si>
    <r>
      <rPr>
        <b/>
        <color rgb="FF64748B"/>
        <sz val="7.5"/>
        <rFont val="Calibri"/>
      </rPr>
      <t>ENTREGA</t>
    </r>
    <r>
      <rPr>
        <sz val="4"/>
        <rFont val="Calibri"/>
      </rPr>
      <t xml:space="preserve">
</t>
    </r>
    <r>
      <rPr>
        <b/>
        <color rgb="FF0F172A"/>
        <sz val="9"/>
        <rFont val="Calibri"/>
      </rPr>
      <t>Entrega e instalación en 5-7 días laborables tras confirmación.</t>
    </r>
  </si>
  <si>
    <r>
      <rPr>
        <b/>
        <color rgb="FF64748B"/>
        <sz val="7.5"/>
        <rFont val="Calibri"/>
      </rPr>
      <t>GARANTÍA</t>
    </r>
    <r>
      <rPr>
        <sz val="4"/>
        <rFont val="Calibri"/>
      </rPr>
      <t xml:space="preserve">
</t>
    </r>
    <r>
      <rPr>
        <b/>
        <color rgb="FF0F172A"/>
        <sz val="9"/>
        <rFont val="Calibri"/>
      </rPr>
      <t>12 meses contra defectos de fábrica para equipos. Mano de obra: 90 días.</t>
    </r>
  </si>
  <si>
    <t>ACEPTACIÓN DEL CLIENTE</t>
  </si>
  <si>
    <t>Firma · Sello · Fecha</t>
  </si>
  <si>
    <t>Representante · ACR NETWORKS &amp; SOLUTIONS, S.R.L.</t>
  </si>
  <si>
    <t>ANEXO TÉCNICO</t>
  </si>
  <si>
    <r>
      <rPr>
        <b/>
        <color rgb="FF475569"/>
        <sz val="8"/>
        <rFont val="Calibri"/>
      </rPr>
      <t>LEVANTAMIENTO FOTOGRÁFICO</t>
    </r>
    <r>
      <rPr>
        <color rgb="FF64748B"/>
        <sz val="8"/>
        <rFont val="Calibri"/>
      </rPr>
      <t xml:space="preserve">   ·   COT-914502   ·   12 imágenes   ·   22/05/2026</t>
    </r>
  </si>
  <si>
    <t>CAPTURAS DE CAMPO</t>
  </si>
  <si>
    <t xml:space="preserve">[ FOTO ]
CCTV-DAH-HFW1839T</t>
  </si>
  <si>
    <t xml:space="preserve">[ FOTO ]
CCTV-DAH-NVR5232</t>
  </si>
  <si>
    <t xml:space="preserve">ÍTEM 1.1 · CCTV-DAH-HFW1839T
Cámara IP Dahua 4K 8MP IPC-HFW1839T1-LED tipo bullet ColorVu 2.8mm
LUGAR: (especificar ubicación de instalación)</t>
  </si>
  <si>
    <t xml:space="preserve">ÍTEM 2.1 · CCTV-DAH-NVR5232
NVR Dahua 32 Canales NVR5232-EI 4K H.265+ con AI (rostros + cruce de línea)
LUGAR: (especificar ubicación de instalación)</t>
  </si>
  <si>
    <t xml:space="preserve">[ FOTO ]
STORAGE-WD-8TB-PURPLE</t>
  </si>
  <si>
    <t xml:space="preserve">[ FOTO ]
NET-UBQ-USW-24-POE</t>
  </si>
  <si>
    <t xml:space="preserve">ÍTEM 3.1 · STORAGE-WD-8TB-PURPLE
Disco duro Western Digital Purple 8TB Surveillance WD84PURZ
LUGAR: (especificar ubicación de instalación)</t>
  </si>
  <si>
    <t xml:space="preserve">ÍTEM 4.1 · NET-UBQ-USW-24-POE
Switch UniFi USW-24-POE 24-puerto gigabit con 16 PoE+ (250W total)
LUGAR: (especificar ubicación de instalación)</t>
  </si>
  <si>
    <t>ANEXO TÉCNICO · Página 2 de 3</t>
  </si>
  <si>
    <t xml:space="preserve">[ FOTO ]
NET-UBQ-USW-LITE-8</t>
  </si>
  <si>
    <t xml:space="preserve">[ FOTO ]
FO-DROP-2H-1000M</t>
  </si>
  <si>
    <t xml:space="preserve">ÍTEM 5.1 · NET-UBQ-USW-LITE-8
Switch UniFi USW-Lite-8-POE 8-puerto gigabit con 4 PoE+ (52W)
LUGAR: (especificar ubicación de instalación)</t>
  </si>
  <si>
    <t xml:space="preserve">ÍTEM 6.1 · FO-DROP-2H-1000M
Bobina Fibra Óptica Drop 2 Hilos SM G657A1 1000m (interplanta entre edificios)
LUGAR: (especificar ubicación de instalación)</t>
  </si>
  <si>
    <t xml:space="preserve">[ FOTO ]
NET-CAB-UTP6-305M</t>
  </si>
  <si>
    <t xml:space="preserve">[ FOTO ]
NET-RJ45-CAT6-PACK100</t>
  </si>
  <si>
    <t xml:space="preserve">ÍTEM 7.1 · NET-CAB-UTP6-305M
Bobina Cable UTP Cat6 305m exterior (gel-filled) para tendido entre cámaras y rack
LUGAR: (especificar ubicación de instalación)</t>
  </si>
  <si>
    <t xml:space="preserve">ÍTEM 8.1 · NET-RJ45-CAT6-PACK100
Conectores RJ45 Cat6 blindados pack×100 con bota anti-tirón
LUGAR: (especificar ubicación de instalación)</t>
  </si>
  <si>
    <t>ANEXO TÉCNICO · Página 3 de 3</t>
  </si>
  <si>
    <t xml:space="preserve">[ FOTO ]
NET-RACK-12U</t>
  </si>
  <si>
    <t xml:space="preserve">[ FOTO ]
POWER-UPS-3KVA</t>
  </si>
  <si>
    <t xml:space="preserve">ÍTEM 9.1 · NET-RACK-12U
Rack mural 12U 600mm con organizador y bandeja para NVR + switches
LUGAR: (especificar ubicación de instalación)</t>
  </si>
  <si>
    <t xml:space="preserve">ÍTEM 10.1 · POWER-UPS-3KVA
UPS APC SmartConnect 3000VA online con respaldo 2h al rack principal
LUGAR: (especificar ubicación de instalación)</t>
  </si>
  <si>
    <t xml:space="preserve">[ FOTO ]
SVC-INSTALACION</t>
  </si>
  <si>
    <t xml:space="preserve">[ FOTO ]
SVC-CAPACITACION</t>
  </si>
  <si>
    <t xml:space="preserve">ÍTEM 11.1 · SVC-INSTALACION
Servicio técnico
instalación · configuración remota DMSS · programación AI y entrega final con planos as-built
LUGAR: (especificar ubicación de instalación)</t>
  </si>
  <si>
    <t xml:space="preserve">ÍTEM 12.1 · SVC-CAPACITACION
Capacitación 2 horas presencial al personal designado (uso de NVR, exportación de video, alertas móvil)
LUGAR: (especificar ubicación de instalación)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</si>
</sst>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&quot;RD$&quot; #,##0.00"/>
  </numFmts>
  <fonts count="28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1E40AF"/>
      <sz val="9"/>
      <name val="Calibri"/>
    </font>
    <font>
      <i/>
      <color rgb="FF64748B"/>
      <sz val="8"/>
      <name val="Calibri"/>
    </font>
    <font>
      <b/>
      <color rgb="FF1E293B"/>
      <sz val="18"/>
      <name val="Calibri"/>
    </font>
    <font>
      <b/>
      <color rgb="FF0F172A"/>
      <sz val="17"/>
      <name val="Consolas"/>
    </font>
    <font>
      <b/>
      <color rgb="FF475569"/>
      <sz val="8.5"/>
      <name val="Calibri"/>
    </font>
    <font>
      <b/>
      <color rgb="FF475569"/>
      <sz val="8"/>
      <name val="Calibri"/>
    </font>
    <font>
      <b/>
      <color rgb="FF64748B"/>
      <sz val="7.5"/>
      <name val="Calibri"/>
    </font>
    <font>
      <b/>
      <color rgb="FF0F172A"/>
      <sz val="12"/>
      <name val="Calibri"/>
    </font>
    <font>
      <color rgb="FF64748B"/>
      <sz val="11"/>
      <name val="Calibri"/>
    </font>
    <font>
      <b/>
      <color rgb="FF334155"/>
      <sz val="8.5"/>
      <name val="Calibri"/>
    </font>
    <font>
      <color rgb="FF94A3B8"/>
      <sz val="9"/>
      <name val="Consolas"/>
    </font>
    <font>
      <b/>
      <color rgb="FF1E293B"/>
      <sz val="9"/>
      <name val="Consolas"/>
    </font>
    <font>
      <color rgb="FF0F172A"/>
      <sz val="10"/>
      <name val="Calibri"/>
    </font>
    <font>
      <color rgb="FF0F172A"/>
      <sz val="10"/>
      <name val="Consolas"/>
    </font>
    <font>
      <b/>
      <color rgb="FF0F172A"/>
      <sz val="10"/>
      <name val="Consolas"/>
    </font>
    <font>
      <color rgb="FFCBD5E1"/>
      <sz val="9"/>
      <name val="Consolas"/>
    </font>
    <font>
      <b/>
      <color rgb="FF475569"/>
      <sz val="9"/>
      <name val="Calibri"/>
    </font>
    <font>
      <b/>
      <color rgb="FF0F172A"/>
      <sz val="10.5"/>
      <name val="Consolas"/>
    </font>
    <font>
      <b/>
      <color rgb="FF334155"/>
      <sz val="11"/>
      <name val="Calibri"/>
    </font>
    <font>
      <b/>
      <color rgb="FF0F172A"/>
      <sz val="14"/>
      <name val="Consolas"/>
    </font>
    <font>
      <b/>
      <color rgb="FF0F172A"/>
      <sz val="8.5"/>
      <name val="Calibri"/>
    </font>
    <font>
      <color rgb="FF475569"/>
      <sz val="9"/>
      <name val="Calibri"/>
    </font>
    <font>
      <b/>
      <color rgb="FF0F172A"/>
      <sz val="9"/>
      <name val="Calibri"/>
    </font>
    <font>
      <color rgb="FF64748B"/>
      <sz val="8"/>
      <name val="Calibri"/>
    </font>
    <font>
      <b/>
      <color rgb="FF94A3B8"/>
      <sz val="9"/>
      <name val="Calibri"/>
    </font>
    <font>
      <color rgb="FF334155"/>
      <sz val="8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BD5E1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hair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hair">
        <color rgb="FFE2E8F0"/>
      </bottom>
      <diagonal/>
    </border>
    <border>
      <left style="thin">
        <color rgb="FFE2E8F0"/>
      </left>
      <right style="thin">
        <color rgb="FFE2E8F0"/>
      </right>
      <top style="hair">
        <color rgb="FFE2E8F0"/>
      </top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thin">
        <color rgb="FFCBD5E1"/>
      </top>
      <bottom style="medium">
        <color rgb="FFCBD5E1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medium">
        <color rgb="FF94A3B8"/>
      </top>
      <bottom style="hair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0F172A"/>
      </bottom>
      <diagonal/>
    </border>
    <border>
      <left style="dashed">
        <color rgb="FFCBD5E1"/>
      </left>
      <right style="dashed">
        <color rgb="FFCBD5E1"/>
      </right>
      <top style="dashed">
        <color rgb="FFCBD5E1"/>
      </top>
      <bottom style="dashed">
        <color rgb="FFCBD5E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/>
    <xf numFmtId="0" fontId="4" fillId="3" borderId="2" xfId="0" applyFont="1" applyFill="1" applyBorder="1" applyAlignment="1">
      <alignment horizontal="left" vertical="center" indent="2"/>
    </xf>
    <xf numFmtId="0" fontId="5" fillId="3" borderId="2" xfId="0" applyFont="1" applyFill="1" applyBorder="1" applyAlignment="1">
      <alignment horizontal="right" vertical="center" indent="2"/>
    </xf>
    <xf numFmtId="0" fontId="0" fillId="0" borderId="0" xfId="0" applyAlignment="1">
      <alignment horizontal="right" vertical="center" indent="2"/>
    </xf>
    <xf numFmtId="0" fontId="6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0" fontId="10" fillId="4" borderId="6" xfId="0" applyFont="1" applyFill="1" applyBorder="1" applyAlignment="1">
      <alignment horizontal="left" vertical="center" indent="1"/>
    </xf>
    <xf numFmtId="0" fontId="10" fillId="4" borderId="6" xfId="0" applyFont="1" applyFill="1" applyBorder="1" applyAlignment="1">
      <alignment horizontal="left" vertical="center" wrapText="1" inden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 indent="1"/>
    </xf>
    <xf numFmtId="0" fontId="11" fillId="3" borderId="7" xfId="0" applyFont="1" applyFill="1" applyBorder="1" applyAlignment="1">
      <alignment horizontal="right" vertical="center" wrapText="1"/>
    </xf>
    <xf numFmtId="164" fontId="12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 wrapText="1" indent="1"/>
    </xf>
    <xf numFmtId="3" fontId="15" fillId="0" borderId="8" xfId="0" applyNumberFormat="1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right" vertical="center" indent="1"/>
    </xf>
    <xf numFmtId="4" fontId="16" fillId="0" borderId="8" xfId="0" applyNumberFormat="1" applyFont="1" applyBorder="1" applyAlignment="1">
      <alignment horizontal="right" vertical="center" indent="1"/>
    </xf>
    <xf numFmtId="164" fontId="12" fillId="4" borderId="8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 wrapText="1" indent="1"/>
    </xf>
    <xf numFmtId="0" fontId="14" fillId="4" borderId="8" xfId="0" applyFont="1" applyFill="1" applyBorder="1" applyAlignment="1">
      <alignment horizontal="left" vertical="center" wrapText="1" indent="1"/>
    </xf>
    <xf numFmtId="3" fontId="15" fillId="4" borderId="8" xfId="0" applyNumberFormat="1" applyFont="1" applyFill="1" applyBorder="1" applyAlignment="1">
      <alignment horizontal="center" vertical="center"/>
    </xf>
    <xf numFmtId="4" fontId="15" fillId="4" borderId="8" xfId="0" applyNumberFormat="1" applyFont="1" applyFill="1" applyBorder="1" applyAlignment="1">
      <alignment horizontal="right" vertical="center" indent="1"/>
    </xf>
    <xf numFmtId="4" fontId="16" fillId="4" borderId="8" xfId="0" applyNumberFormat="1" applyFont="1" applyFill="1" applyBorder="1" applyAlignment="1">
      <alignment horizontal="right" vertical="center" indent="1"/>
    </xf>
    <xf numFmtId="164" fontId="17" fillId="0" borderId="8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right" vertical="center" indent="1"/>
    </xf>
    <xf numFmtId="0" fontId="18" fillId="0" borderId="8" xfId="0" applyFont="1" applyBorder="1" applyAlignment="1">
      <alignment horizontal="right" vertical="center" indent="1"/>
    </xf>
    <xf numFmtId="165" fontId="19" fillId="0" borderId="8" xfId="0" applyNumberFormat="1" applyFont="1" applyBorder="1" applyAlignment="1">
      <alignment horizontal="right" vertical="center" indent="1"/>
    </xf>
    <xf numFmtId="0" fontId="20" fillId="3" borderId="9" xfId="0" applyFont="1" applyFill="1" applyBorder="1" applyAlignment="1">
      <alignment horizontal="right" vertical="center" indent="1"/>
    </xf>
    <xf numFmtId="165" fontId="21" fillId="3" borderId="9" xfId="0" applyNumberFormat="1" applyFont="1" applyFill="1" applyBorder="1" applyAlignment="1">
      <alignment horizontal="right" vertical="center" indent="1"/>
    </xf>
    <xf numFmtId="0" fontId="22" fillId="4" borderId="10" xfId="0" applyFont="1" applyFill="1" applyBorder="1" applyAlignment="1">
      <alignment horizontal="left" vertical="center" indent="1"/>
    </xf>
    <xf numFmtId="0" fontId="23" fillId="4" borderId="11" xfId="0" applyFont="1" applyFill="1" applyBorder="1" applyAlignment="1">
      <alignment horizontal="left" vertical="top" wrapText="1" indent="1"/>
    </xf>
    <xf numFmtId="0" fontId="0" fillId="4" borderId="12" xfId="0" applyFill="1" applyBorder="1" applyAlignment="1">
      <alignment horizontal="left" vertical="top" wrapText="1" indent="1"/>
    </xf>
    <xf numFmtId="0" fontId="0" fillId="0" borderId="13" xfId="0" applyBorder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26" fillId="4" borderId="14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top" wrapText="1" indent="1"/>
    </xf>
    <xf numFmtId="0" fontId="18" fillId="0" borderId="4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1</xdr:row>
      <xdr:rowOff>35999</xdr:rowOff>
    </xdr:from>
    <xdr:ext cx="9525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20000</xdr:colOff>
      <xdr:row>18</xdr:row>
      <xdr:rowOff>0</xdr:rowOff>
    </xdr:from>
    <xdr:ext cx="5715000" cy="1333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25000</xdr:colOff>
      <xdr:row>23</xdr:row>
      <xdr:rowOff>0</xdr:rowOff>
    </xdr:from>
    <xdr:ext cx="5524500" cy="1238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  <pageSetUpPr fitToPage="1"/>
  </sheetPr>
  <dimension ref="A1:F73"/>
  <sheetViews>
    <sheetView workbookViewId="0" showGridLines="0" zoomScale="105"/>
  </sheetViews>
  <sheetFormatPr defaultRowHeight="15" outlineLevelRow="0" outlineLevelCol="0" x14ac:dyDescent="55"/>
  <cols>
    <col min="1" max="1" width="5" customWidth="1"/>
    <col min="2" max="2" width="22" customWidth="1"/>
    <col min="3" max="3" width="48" customWidth="1"/>
    <col min="4" max="4" width="8" customWidth="1"/>
    <col min="5" max="5" width="15" customWidth="1"/>
    <col min="6" max="6" width="18" customWidth="1"/>
  </cols>
  <sheetData>
    <row r="1" ht="4" customHeight="1" spans="1:6" x14ac:dyDescent="0.25">
      <c r="A1" s="1"/>
      <c r="B1" s="1"/>
      <c r="C1" s="1"/>
      <c r="D1" s="1"/>
      <c r="E1" s="1"/>
      <c r="F1" s="1"/>
    </row>
    <row r="2" ht="22" customHeight="1" spans="3:6" x14ac:dyDescent="0.25">
      <c r="C2" s="2" t="s">
        <v>0</v>
      </c>
      <c r="D2" s="2"/>
      <c r="E2" s="3" t="s">
        <v>1</v>
      </c>
      <c r="F2" s="3"/>
    </row>
    <row r="3" ht="14" customHeight="1" spans="3:6" x14ac:dyDescent="0.25">
      <c r="C3" s="4" t="s">
        <v>2</v>
      </c>
      <c r="D3" s="4"/>
      <c r="E3" s="3" t="s">
        <v>3</v>
      </c>
      <c r="F3" s="3"/>
    </row>
    <row r="4" ht="14" customHeight="1" spans="3:6" x14ac:dyDescent="0.25">
      <c r="C4" s="5" t="s">
        <v>4</v>
      </c>
      <c r="D4" s="5"/>
      <c r="E4" s="3" t="s">
        <v>5</v>
      </c>
      <c r="F4" s="3"/>
    </row>
    <row r="5" ht="14" customHeight="1" spans="3:6" x14ac:dyDescent="0.25">
      <c r="C5" t="s">
        <v>6</v>
      </c>
      <c r="D5"/>
      <c r="E5" s="3" t="s">
        <v>7</v>
      </c>
      <c r="F5" s="3"/>
    </row>
    <row r="6" ht="4" customHeight="1" spans="1:6" x14ac:dyDescent="0.25">
      <c r="A6" s="6"/>
      <c r="B6" s="6"/>
      <c r="C6" s="6"/>
      <c r="D6" s="6"/>
      <c r="E6" s="6"/>
      <c r="F6" s="6"/>
    </row>
    <row r="7" ht="34" customHeight="1" spans="1:6" x14ac:dyDescent="0.25">
      <c r="A7" s="7" t="s">
        <v>8</v>
      </c>
      <c r="B7" s="7"/>
      <c r="C7" s="7"/>
      <c r="D7" s="8" t="s">
        <v>9</v>
      </c>
      <c r="E7" s="8"/>
      <c r="F7" s="8"/>
    </row>
    <row r="8" ht="18" customHeight="1" spans="1:6" x14ac:dyDescent="0.25">
      <c r="A8" t="s">
        <v>6</v>
      </c>
      <c r="B8"/>
      <c r="C8"/>
      <c r="D8" s="9" t="s">
        <v>10</v>
      </c>
      <c r="E8" s="9"/>
      <c r="F8" s="9"/>
    </row>
    <row r="9" ht="18" customHeight="1" spans="1:6" x14ac:dyDescent="0.25">
      <c r="A9" t="s">
        <v>6</v>
      </c>
      <c r="B9"/>
      <c r="C9"/>
      <c r="D9"/>
      <c r="E9"/>
      <c r="F9" s="10" t="s">
        <v>11</v>
      </c>
    </row>
    <row r="10" ht="10" customHeight="1" x14ac:dyDescent="0.25"/>
    <row r="11" ht="16" customHeight="1" spans="1:6" x14ac:dyDescent="0.25">
      <c r="A11" s="11" t="s">
        <v>12</v>
      </c>
      <c r="B11" s="11"/>
      <c r="C11" s="11"/>
      <c r="D11" s="11"/>
      <c r="E11" s="11"/>
      <c r="F11" s="11"/>
    </row>
    <row r="12" ht="14" customHeight="1" spans="1:6" x14ac:dyDescent="0.25">
      <c r="A12" s="12" t="s">
        <v>13</v>
      </c>
      <c r="B12" s="12"/>
      <c r="C12" s="12"/>
      <c r="D12" s="12" t="s">
        <v>14</v>
      </c>
      <c r="E12" s="12" t="s">
        <v>15</v>
      </c>
      <c r="F12" s="12"/>
    </row>
    <row r="13" ht="24" customHeight="1" spans="1:6" x14ac:dyDescent="0.25">
      <c r="A13" s="13" t="s">
        <v>16</v>
      </c>
      <c r="B13" s="13"/>
      <c r="C13" s="13"/>
      <c r="D13" s="14" t="s">
        <v>17</v>
      </c>
      <c r="E13" s="15" t="s">
        <v>17</v>
      </c>
      <c r="F13" s="15"/>
    </row>
    <row r="14" ht="14" customHeight="1" x14ac:dyDescent="0.25"/>
    <row r="15" ht="16" customHeight="1" spans="1:6" x14ac:dyDescent="0.25">
      <c r="A15" s="11" t="s">
        <v>18</v>
      </c>
      <c r="B15" s="11"/>
      <c r="C15" s="11"/>
      <c r="D15" s="11"/>
      <c r="E15" s="11"/>
      <c r="F15" s="11"/>
    </row>
    <row r="16" ht="28" customHeight="1" spans="1:6" x14ac:dyDescent="0.25">
      <c r="A16" s="16" t="s">
        <v>19</v>
      </c>
      <c r="B16" s="17" t="s">
        <v>20</v>
      </c>
      <c r="C16" s="17" t="s">
        <v>21</v>
      </c>
      <c r="D16" s="16" t="s">
        <v>22</v>
      </c>
      <c r="E16" s="18" t="s">
        <v>23</v>
      </c>
      <c r="F16" s="18" t="s">
        <v>24</v>
      </c>
    </row>
    <row r="17" ht="26" customHeight="1" spans="1:6" x14ac:dyDescent="0.25">
      <c r="A17" s="19">
        <v>1</v>
      </c>
      <c r="B17" s="20" t="s">
        <v>25</v>
      </c>
      <c r="C17" s="21" t="s">
        <v>26</v>
      </c>
      <c r="D17" s="22">
        <v>36</v>
      </c>
      <c r="E17" s="23">
        <v>0</v>
      </c>
      <c r="F17" s="24">
        <f>D17*E17</f>
        <v>0</v>
      </c>
    </row>
    <row r="18" ht="26" customHeight="1" spans="1:6" x14ac:dyDescent="0.25">
      <c r="A18" s="25">
        <v>2</v>
      </c>
      <c r="B18" s="26" t="s">
        <v>27</v>
      </c>
      <c r="C18" s="27" t="s">
        <v>28</v>
      </c>
      <c r="D18" s="28">
        <v>2</v>
      </c>
      <c r="E18" s="29">
        <v>0</v>
      </c>
      <c r="F18" s="30">
        <f>D18*E18</f>
        <v>0</v>
      </c>
    </row>
    <row r="19" ht="32" customHeight="1" spans="1:6" x14ac:dyDescent="0.25">
      <c r="A19" s="19">
        <v>3</v>
      </c>
      <c r="B19" s="20" t="s">
        <v>29</v>
      </c>
      <c r="C19" s="21" t="s">
        <v>30</v>
      </c>
      <c r="D19" s="22">
        <v>4</v>
      </c>
      <c r="E19" s="23">
        <v>0</v>
      </c>
      <c r="F19" s="24">
        <f>D19*E19</f>
        <v>0</v>
      </c>
    </row>
    <row r="20" ht="26" customHeight="1" spans="1:6" x14ac:dyDescent="0.25">
      <c r="A20" s="25">
        <v>4</v>
      </c>
      <c r="B20" s="26" t="s">
        <v>31</v>
      </c>
      <c r="C20" s="27" t="s">
        <v>32</v>
      </c>
      <c r="D20" s="28">
        <v>2</v>
      </c>
      <c r="E20" s="29">
        <v>0</v>
      </c>
      <c r="F20" s="30">
        <f>D20*E20</f>
        <v>0</v>
      </c>
    </row>
    <row r="21" ht="26" customHeight="1" spans="1:6" x14ac:dyDescent="0.25">
      <c r="A21" s="19">
        <v>5</v>
      </c>
      <c r="B21" s="20" t="s">
        <v>33</v>
      </c>
      <c r="C21" s="21" t="s">
        <v>34</v>
      </c>
      <c r="D21" s="22">
        <v>2</v>
      </c>
      <c r="E21" s="23">
        <v>0</v>
      </c>
      <c r="F21" s="24">
        <f>D21*E21</f>
        <v>0</v>
      </c>
    </row>
    <row r="22" ht="26" customHeight="1" spans="1:6" x14ac:dyDescent="0.25">
      <c r="A22" s="25">
        <v>6</v>
      </c>
      <c r="B22" s="26" t="s">
        <v>35</v>
      </c>
      <c r="C22" s="27" t="s">
        <v>36</v>
      </c>
      <c r="D22" s="28">
        <v>2</v>
      </c>
      <c r="E22" s="29">
        <v>0</v>
      </c>
      <c r="F22" s="30">
        <f>D22*E22</f>
        <v>0</v>
      </c>
    </row>
    <row r="23" ht="26" customHeight="1" spans="1:6" x14ac:dyDescent="0.25">
      <c r="A23" s="19">
        <v>7</v>
      </c>
      <c r="B23" s="20" t="s">
        <v>37</v>
      </c>
      <c r="C23" s="21" t="s">
        <v>38</v>
      </c>
      <c r="D23" s="22">
        <v>6</v>
      </c>
      <c r="E23" s="23">
        <v>0</v>
      </c>
      <c r="F23" s="24">
        <f>D23*E23</f>
        <v>0</v>
      </c>
    </row>
    <row r="24" ht="32" customHeight="1" spans="1:6" x14ac:dyDescent="0.25">
      <c r="A24" s="25">
        <v>8</v>
      </c>
      <c r="B24" s="26" t="s">
        <v>39</v>
      </c>
      <c r="C24" s="27" t="s">
        <v>40</v>
      </c>
      <c r="D24" s="28">
        <v>2</v>
      </c>
      <c r="E24" s="29">
        <v>0</v>
      </c>
      <c r="F24" s="30">
        <f>D24*E24</f>
        <v>0</v>
      </c>
    </row>
    <row r="25" ht="26" customHeight="1" spans="1:6" x14ac:dyDescent="0.25">
      <c r="A25" s="19">
        <v>9</v>
      </c>
      <c r="B25" s="20" t="s">
        <v>41</v>
      </c>
      <c r="C25" s="21" t="s">
        <v>42</v>
      </c>
      <c r="D25" s="22">
        <v>2</v>
      </c>
      <c r="E25" s="23">
        <v>0</v>
      </c>
      <c r="F25" s="24">
        <f>D25*E25</f>
        <v>0</v>
      </c>
    </row>
    <row r="26" ht="26" customHeight="1" spans="1:6" x14ac:dyDescent="0.25">
      <c r="A26" s="25">
        <v>10</v>
      </c>
      <c r="B26" s="26" t="s">
        <v>43</v>
      </c>
      <c r="C26" s="27" t="s">
        <v>44</v>
      </c>
      <c r="D26" s="28">
        <v>1</v>
      </c>
      <c r="E26" s="29">
        <v>0</v>
      </c>
      <c r="F26" s="30">
        <f>D26*E26</f>
        <v>0</v>
      </c>
    </row>
    <row r="27" ht="42" customHeight="1" spans="1:6" x14ac:dyDescent="0.25">
      <c r="A27" s="19">
        <v>11</v>
      </c>
      <c r="B27" s="20" t="s">
        <v>45</v>
      </c>
      <c r="C27" s="21" t="s">
        <v>46</v>
      </c>
      <c r="D27" s="22">
        <v>1</v>
      </c>
      <c r="E27" s="23">
        <v>0</v>
      </c>
      <c r="F27" s="24">
        <f>D27*E27</f>
        <v>0</v>
      </c>
    </row>
    <row r="28" ht="26" customHeight="1" spans="1:6" x14ac:dyDescent="0.25">
      <c r="A28" s="25">
        <v>12</v>
      </c>
      <c r="B28" s="26" t="s">
        <v>47</v>
      </c>
      <c r="C28" s="27" t="s">
        <v>48</v>
      </c>
      <c r="D28" s="28">
        <v>1</v>
      </c>
      <c r="E28" s="29">
        <v>0</v>
      </c>
      <c r="F28" s="30">
        <f>D28*E28</f>
        <v>0</v>
      </c>
    </row>
    <row r="29" ht="22" customHeight="1" spans="1:6" x14ac:dyDescent="0.25">
      <c r="A29" s="31">
        <v>13</v>
      </c>
      <c r="B29" s="20"/>
      <c r="C29" s="21"/>
      <c r="D29" s="32"/>
      <c r="E29" s="33"/>
      <c r="F29" s="24">
        <f>IFERROR(D29*E29,0)</f>
        <v>0</v>
      </c>
    </row>
    <row r="30" ht="22" customHeight="1" spans="1:6" x14ac:dyDescent="0.25">
      <c r="A30" s="31">
        <v>14</v>
      </c>
      <c r="B30" s="20"/>
      <c r="C30" s="21"/>
      <c r="D30" s="32"/>
      <c r="E30" s="33"/>
      <c r="F30" s="24">
        <f>IFERROR(D30*E30,0)</f>
        <v>0</v>
      </c>
    </row>
    <row r="31" ht="22" customHeight="1" spans="1:6" x14ac:dyDescent="0.25">
      <c r="A31" s="31">
        <v>15</v>
      </c>
      <c r="B31" s="20"/>
      <c r="C31" s="21"/>
      <c r="D31" s="32"/>
      <c r="E31" s="33"/>
      <c r="F31" s="24">
        <f>IFERROR(D31*E31,0)</f>
        <v>0</v>
      </c>
    </row>
    <row r="32" ht="12" customHeight="1" x14ac:dyDescent="0.25"/>
    <row r="33" ht="22" customHeight="1" spans="4:6" x14ac:dyDescent="0.25">
      <c r="D33" s="34" t="s">
        <v>49</v>
      </c>
      <c r="E33" s="34"/>
      <c r="F33" s="35">
        <f>SUM(F17:F31)</f>
        <v>0</v>
      </c>
    </row>
    <row r="34" ht="22" customHeight="1" spans="4:6" x14ac:dyDescent="0.25">
      <c r="D34" s="34" t="s">
        <v>50</v>
      </c>
      <c r="E34" s="34"/>
      <c r="F34" s="35">
        <f>F33*0.18</f>
        <v>0</v>
      </c>
    </row>
    <row r="35" ht="30" customHeight="1" spans="4:6" x14ac:dyDescent="0.25">
      <c r="D35" s="36" t="s">
        <v>51</v>
      </c>
      <c r="E35" s="36"/>
      <c r="F35" s="37">
        <f>F33+F34</f>
        <v>0</v>
      </c>
    </row>
    <row r="36" ht="14" customHeight="1" x14ac:dyDescent="0.25"/>
    <row r="37" ht="14" customHeight="1" spans="1:6" x14ac:dyDescent="0.25">
      <c r="A37" s="38" t="s">
        <v>52</v>
      </c>
      <c r="B37" s="38"/>
      <c r="C37" s="38"/>
      <c r="D37" s="38"/>
      <c r="E37" s="38"/>
      <c r="F37" s="38"/>
    </row>
    <row r="38" ht="36" customHeight="1" spans="1:6" x14ac:dyDescent="0.25">
      <c r="A38" s="39" t="s">
        <v>53</v>
      </c>
      <c r="B38" s="39"/>
      <c r="C38" s="39"/>
      <c r="D38" s="39"/>
      <c r="E38" s="39"/>
      <c r="F38" s="39"/>
    </row>
    <row r="39" ht="8" customHeight="1" x14ac:dyDescent="0.25"/>
    <row r="40" ht="44" customHeight="1" spans="1:6" x14ac:dyDescent="0.25">
      <c r="A40" s="40" t="s">
        <v>54</v>
      </c>
      <c r="B40" s="40"/>
      <c r="C40" s="40" t="s">
        <v>55</v>
      </c>
      <c r="D40" s="40"/>
      <c r="E40" s="40" t="s">
        <v>56</v>
      </c>
      <c r="F40" s="40"/>
    </row>
    <row r="41" ht="28" customHeight="1" x14ac:dyDescent="0.25"/>
    <row r="42" ht="44" customHeight="1" spans="1:6" x14ac:dyDescent="0.25">
      <c r="A42" s="41"/>
      <c r="B42" s="41"/>
      <c r="C42" s="41"/>
      <c r="D42" s="41"/>
      <c r="E42" s="41"/>
      <c r="F42" s="41"/>
    </row>
    <row r="43" ht="14" customHeight="1" spans="1:6" x14ac:dyDescent="0.25">
      <c r="A43" s="42" t="s">
        <v>57</v>
      </c>
      <c r="B43" s="42"/>
      <c r="C43" s="42"/>
      <c r="D43" s="42" t="s">
        <v>0</v>
      </c>
      <c r="E43" s="42"/>
      <c r="F43" s="42"/>
    </row>
    <row r="44" ht="13" customHeight="1" spans="1:6" x14ac:dyDescent="0.25">
      <c r="A44" s="43" t="s">
        <v>58</v>
      </c>
      <c r="B44" s="43"/>
      <c r="C44" s="43"/>
      <c r="D44" s="43" t="s">
        <v>59</v>
      </c>
      <c r="E44" s="43"/>
      <c r="F44" s="43"/>
    </row>
    <row r="45" ht="8" customHeight="1" x14ac:dyDescent="0.25"/>
    <row r="46" ht="18" customHeight="1" spans="1:6" x14ac:dyDescent="0.25">
      <c r="A46" s="44" t="s">
        <v>60</v>
      </c>
      <c r="B46" s="44"/>
      <c r="C46" s="44"/>
      <c r="D46" s="44"/>
      <c r="E46" s="44"/>
      <c r="F46" s="44"/>
    </row>
    <row r="47" ht="14" customHeight="1" spans="1:6" x14ac:dyDescent="0.25">
      <c r="A47" s="45" t="s">
        <v>61</v>
      </c>
      <c r="B47" s="45"/>
      <c r="C47" s="45"/>
      <c r="D47" s="45"/>
      <c r="E47" s="45"/>
      <c r="F47" s="45"/>
    </row>
    <row r="48" ht="12" customHeight="1" spans="1:6" x14ac:dyDescent="0.25">
      <c r="A48" s="46" t="s">
        <v>62</v>
      </c>
      <c r="B48" s="46"/>
      <c r="C48" s="46"/>
      <c r="D48" s="46"/>
      <c r="E48" s="46"/>
      <c r="F48" s="46"/>
    </row>
    <row r="49" ht="6" customHeight="1" x14ac:dyDescent="0.25"/>
    <row r="50" ht="100" customHeight="1" spans="1:6" x14ac:dyDescent="0.25">
      <c r="A50" s="47" t="s">
        <v>63</v>
      </c>
      <c r="B50" s="47"/>
      <c r="C50" s="47"/>
      <c r="D50" s="47" t="s">
        <v>64</v>
      </c>
      <c r="E50" s="47"/>
      <c r="F50" s="47"/>
    </row>
    <row r="51" ht="50" customHeight="1" spans="1:6" x14ac:dyDescent="0.25">
      <c r="A51" s="48" t="s">
        <v>65</v>
      </c>
      <c r="B51" s="48"/>
      <c r="C51" s="48"/>
      <c r="D51" s="48" t="s">
        <v>66</v>
      </c>
      <c r="E51" s="48"/>
      <c r="F51" s="48"/>
    </row>
    <row r="52" ht="10" customHeight="1" x14ac:dyDescent="0.25"/>
    <row r="53" ht="100" customHeight="1" spans="1:6" x14ac:dyDescent="0.25">
      <c r="A53" s="47" t="s">
        <v>67</v>
      </c>
      <c r="B53" s="47"/>
      <c r="C53" s="47"/>
      <c r="D53" s="47" t="s">
        <v>68</v>
      </c>
      <c r="E53" s="47"/>
      <c r="F53" s="47"/>
    </row>
    <row r="54" ht="50" customHeight="1" spans="1:6" x14ac:dyDescent="0.25">
      <c r="A54" s="48" t="s">
        <v>69</v>
      </c>
      <c r="B54" s="48"/>
      <c r="C54" s="48"/>
      <c r="D54" s="48" t="s">
        <v>70</v>
      </c>
      <c r="E54" s="48"/>
      <c r="F54" s="48"/>
    </row>
    <row r="55" ht="10" customHeight="1" x14ac:dyDescent="0.25"/>
    <row r="56" ht="8" customHeight="1" x14ac:dyDescent="0.25"/>
    <row r="57" ht="18" customHeight="1" spans="1:6" x14ac:dyDescent="0.25">
      <c r="A57" s="49" t="s">
        <v>71</v>
      </c>
      <c r="B57" s="49"/>
      <c r="C57" s="49"/>
      <c r="D57" s="49"/>
      <c r="E57" s="49"/>
      <c r="F57" s="49"/>
    </row>
    <row r="58" ht="6" customHeight="1" x14ac:dyDescent="0.25"/>
    <row r="59" ht="100" customHeight="1" spans="1:6" x14ac:dyDescent="0.25">
      <c r="A59" s="47" t="s">
        <v>72</v>
      </c>
      <c r="B59" s="47"/>
      <c r="C59" s="47"/>
      <c r="D59" s="47" t="s">
        <v>73</v>
      </c>
      <c r="E59" s="47"/>
      <c r="F59" s="47"/>
    </row>
    <row r="60" ht="50" customHeight="1" spans="1:6" x14ac:dyDescent="0.25">
      <c r="A60" s="48" t="s">
        <v>74</v>
      </c>
      <c r="B60" s="48"/>
      <c r="C60" s="48"/>
      <c r="D60" s="48" t="s">
        <v>75</v>
      </c>
      <c r="E60" s="48"/>
      <c r="F60" s="48"/>
    </row>
    <row r="61" ht="10" customHeight="1" x14ac:dyDescent="0.25"/>
    <row r="62" ht="100" customHeight="1" spans="1:6" x14ac:dyDescent="0.25">
      <c r="A62" s="47" t="s">
        <v>76</v>
      </c>
      <c r="B62" s="47"/>
      <c r="C62" s="47"/>
      <c r="D62" s="47" t="s">
        <v>77</v>
      </c>
      <c r="E62" s="47"/>
      <c r="F62" s="47"/>
    </row>
    <row r="63" ht="50" customHeight="1" spans="1:6" x14ac:dyDescent="0.25">
      <c r="A63" s="48" t="s">
        <v>78</v>
      </c>
      <c r="B63" s="48"/>
      <c r="C63" s="48"/>
      <c r="D63" s="48" t="s">
        <v>79</v>
      </c>
      <c r="E63" s="48"/>
      <c r="F63" s="48"/>
    </row>
    <row r="64" ht="10" customHeight="1" x14ac:dyDescent="0.25"/>
    <row r="65" ht="8" customHeight="1" x14ac:dyDescent="0.25"/>
    <row r="66" ht="18" customHeight="1" spans="1:6" x14ac:dyDescent="0.25">
      <c r="A66" s="49" t="s">
        <v>80</v>
      </c>
      <c r="B66" s="49"/>
      <c r="C66" s="49"/>
      <c r="D66" s="49"/>
      <c r="E66" s="49"/>
      <c r="F66" s="49"/>
    </row>
    <row r="67" ht="6" customHeight="1" x14ac:dyDescent="0.25"/>
    <row r="68" ht="100" customHeight="1" spans="1:6" x14ac:dyDescent="0.25">
      <c r="A68" s="47" t="s">
        <v>81</v>
      </c>
      <c r="B68" s="47"/>
      <c r="C68" s="47"/>
      <c r="D68" s="47" t="s">
        <v>82</v>
      </c>
      <c r="E68" s="47"/>
      <c r="F68" s="47"/>
    </row>
    <row r="69" ht="50" customHeight="1" spans="1:6" x14ac:dyDescent="0.25">
      <c r="A69" s="48" t="s">
        <v>83</v>
      </c>
      <c r="B69" s="48"/>
      <c r="C69" s="48"/>
      <c r="D69" s="48" t="s">
        <v>84</v>
      </c>
      <c r="E69" s="48"/>
      <c r="F69" s="48"/>
    </row>
    <row r="70" ht="10" customHeight="1" x14ac:dyDescent="0.25"/>
    <row r="71" ht="100" customHeight="1" spans="1:6" x14ac:dyDescent="0.25">
      <c r="A71" s="47" t="s">
        <v>85</v>
      </c>
      <c r="B71" s="47"/>
      <c r="C71" s="47"/>
      <c r="D71" s="47" t="s">
        <v>86</v>
      </c>
      <c r="E71" s="47"/>
      <c r="F71" s="47"/>
    </row>
    <row r="72" ht="50" customHeight="1" spans="1:6" x14ac:dyDescent="0.25">
      <c r="A72" s="48" t="s">
        <v>87</v>
      </c>
      <c r="B72" s="48"/>
      <c r="C72" s="48"/>
      <c r="D72" s="48" t="s">
        <v>88</v>
      </c>
      <c r="E72" s="48"/>
      <c r="F72" s="48"/>
    </row>
    <row r="73" ht="10" customHeight="1" x14ac:dyDescent="0.25"/>
  </sheetData>
  <mergeCells count="64">
    <mergeCell ref="A1:F1"/>
    <mergeCell ref="C2:D2"/>
    <mergeCell ref="E2:F2"/>
    <mergeCell ref="C3:D3"/>
    <mergeCell ref="E3:F3"/>
    <mergeCell ref="C4:D4"/>
    <mergeCell ref="E4:F4"/>
    <mergeCell ref="C5:D5"/>
    <mergeCell ref="E5:F5"/>
    <mergeCell ref="A6:F6"/>
    <mergeCell ref="A7:C7"/>
    <mergeCell ref="D7:F7"/>
    <mergeCell ref="A8:C8"/>
    <mergeCell ref="D8:F8"/>
    <mergeCell ref="A9:E9"/>
    <mergeCell ref="A11:F11"/>
    <mergeCell ref="A12:C12"/>
    <mergeCell ref="E12:F12"/>
    <mergeCell ref="A13:C13"/>
    <mergeCell ref="E13:F13"/>
    <mergeCell ref="A15:F15"/>
    <mergeCell ref="D33:E33"/>
    <mergeCell ref="D34:E34"/>
    <mergeCell ref="D35:E35"/>
    <mergeCell ref="A37:F37"/>
    <mergeCell ref="A38:F38"/>
    <mergeCell ref="A40:B40"/>
    <mergeCell ref="C40:D40"/>
    <mergeCell ref="E40:F40"/>
    <mergeCell ref="A42:C42"/>
    <mergeCell ref="D42:F42"/>
    <mergeCell ref="A43:C43"/>
    <mergeCell ref="D43:F43"/>
    <mergeCell ref="A44:C44"/>
    <mergeCell ref="D44:F44"/>
    <mergeCell ref="A46:F46"/>
    <mergeCell ref="A47:F47"/>
    <mergeCell ref="A48:F48"/>
    <mergeCell ref="A50:C50"/>
    <mergeCell ref="D50:F50"/>
    <mergeCell ref="A51:C51"/>
    <mergeCell ref="D51:F51"/>
    <mergeCell ref="A53:C53"/>
    <mergeCell ref="D53:F53"/>
    <mergeCell ref="A54:C54"/>
    <mergeCell ref="D54:F54"/>
    <mergeCell ref="A57:F57"/>
    <mergeCell ref="A59:C59"/>
    <mergeCell ref="D59:F59"/>
    <mergeCell ref="A60:C60"/>
    <mergeCell ref="D60:F60"/>
    <mergeCell ref="A62:C62"/>
    <mergeCell ref="D62:F62"/>
    <mergeCell ref="A63:C63"/>
    <mergeCell ref="D63:F63"/>
    <mergeCell ref="A66:F66"/>
    <mergeCell ref="A68:C68"/>
    <mergeCell ref="D68:F68"/>
    <mergeCell ref="A69:C69"/>
    <mergeCell ref="D69:F69"/>
    <mergeCell ref="A71:C71"/>
    <mergeCell ref="D71:F71"/>
    <mergeCell ref="A72:C72"/>
    <mergeCell ref="D72:F72"/>
  </mergeCells>
  <printOptions horizontalCentered="1"/>
  <pageMargins left="0.35" right="0.35" top="0.5" bottom="0.7" header="0.25" footer="0.3"/>
  <pageSetup paperSize="1" orientation="portrait" horizontalDpi="4294967295" verticalDpi="4294967295" scale="100" fitToWidth="1" fitToHeight="0"/>
  <headerFooter>
    <oddFooter>&amp;L&amp;"Calibri,Bold"&amp;8&amp;K0F172AVERIFICACIÓN ANTI-FRAUDE
&amp;"Calibri,Regular"&amp;7&amp;K64748BEscanea el QR o toca aquí para validar.
&amp;"Consolas,Regular"&amp;7&amp;K1E40AFacr-erp-noc.vercel.app/portal/verify/...91343f&amp;C&amp;"Calibri,Bold"&amp;8&amp;K475569DOCUMENTO ELECTRÓNICO VERIFICABLE
&amp;"Calibri,Regular"&amp;7&amp;K94A3B8ACR NETWORKS &amp; SOLUTIONS, S.R.L. · RNC 133692678&amp;R&amp;"Calibri,Regular"&amp;8&amp;K94A3B8Página &amp;P / &amp;N</oddFooter>
  </headerFooter>
  <rowBreaks count="3" manualBreakCount="3">
    <brk id="45" max="16838" man="1"/>
    <brk id="56" max="16838" man="1"/>
    <brk id="65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Cotización</vt:lpstr>
    </vt:vector>
  </TitlesOfParts>
  <Company>ACR NETWORKS &amp; SOLUTIONS, S.R.L.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NETWORKS &amp; SOLUTIONS, S.R.L.</dc:creator>
  <dc:title>Cotización COT-914502</dc:title>
  <dc:subject>Cotización COT-914502 · Escuela Benito Juárez</dc:subject>
  <dc:description/>
  <cp:keywords>cotizacion, ACR, escuela, CCTV, plantilla, editable</cp:keywords>
  <cp:category/>
  <cp:lastModifiedBy>Unknown</cp:lastModifiedBy>
  <dcterms:created xsi:type="dcterms:W3CDTF">2026-05-22T03:02:03Z</dcterms:created>
  <dcterms:modified xsi:type="dcterms:W3CDTF">2026-05-22T03:02:03Z</dcterms:modified>
</cp:coreProperties>
</file>