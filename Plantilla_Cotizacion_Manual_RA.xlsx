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tización" state="visible" r:id="rId4"/>
  </sheets>
  <calcPr calcId="171027"/>
</workbook>
</file>

<file path=xl/sharedStrings.xml><?xml version="1.0" encoding="utf-8"?>
<sst xmlns="http://schemas.openxmlformats.org/spreadsheetml/2006/main" count="59" uniqueCount="58">
  <si>
    <t>ACR Networks &amp; Solutions, SRL</t>
  </si>
  <si>
    <t>[{"text":"RNC  ","font":{"name":"Calibri","size":8,"bold":true,"color":{"argb":"FF94A3B8"}}},{"text":"1-32-12345-6","font":{"name":"Calibri","size":10,"bold":true,"color":{"argb":"FF0F172A"}}}]</t>
  </si>
  <si>
    <t>ACR NETWORKS &amp; SOLUTIONS</t>
  </si>
  <si>
    <t>Av. Winston Churchill #95, Edificio Acrópolis, Piantini, Santo Domingo, R.D.</t>
  </si>
  <si>
    <t>Infraestructura de Redes · Seguridad Electrónica · Fibra Óptica</t>
  </si>
  <si>
    <t>Tel. (809) 547-2828  ·  ventas@acrnetworks.do</t>
  </si>
  <si>
    <t/>
  </si>
  <si>
    <t>https://acrnetworks.do</t>
  </si>
  <si>
    <t>COTIZACIÓN</t>
  </si>
  <si>
    <t>COT-2026-0521-001</t>
  </si>
  <si>
    <t>Documento Electrónico Verificable</t>
  </si>
  <si>
    <t>[{"text":"Emisión: ","font":{"name":"Calibri","size":8,"color":{"argb":"FF94A3B8"},"bold":true}},{"text":"2026-05-22","font":{"name":"Calibri","size":8.5,"color":{"argb":"FF0F172A"},"bold":true}},{"text":"   ·   Válida hasta: ","font":{"name":"Calibri","size":8,"color":{"argb":"FF94A3B8"},"bold":true}},{"text":"2026-06-21","font":{"name":"Calibri","size":8.5,"color":{"argb":"FF0F172A"},"bold":true}}]</t>
  </si>
  <si>
    <t>CLIENTE</t>
  </si>
  <si>
    <t>Razón Social</t>
  </si>
  <si>
    <t>RNC / Contacto</t>
  </si>
  <si>
    <t>Dirección</t>
  </si>
  <si>
    <t>TechSolutions Caribe, SRL</t>
  </si>
  <si>
    <t>1-30-50128-3</t>
  </si>
  <si>
    <t>Av. 27 de Febrero #500, Ensanche Naco, Santo Domingo, R.D.</t>
  </si>
  <si>
    <t>Cliente #: CLI-2026-00128  ·  Ing. Luis Martínez</t>
  </si>
  <si>
    <t>Tel. (809) 555-1234</t>
  </si>
  <si>
    <t>compras@techsolutions.com.do</t>
  </si>
  <si>
    <t>DETALLE DE PRODUCTOS Y SERVICIOS</t>
  </si>
  <si>
    <t>#</t>
  </si>
  <si>
    <t>Código</t>
  </si>
  <si>
    <t>Descripción</t>
  </si>
  <si>
    <t>Cant.</t>
  </si>
  <si>
    <t>Precio Unit. (RD$)</t>
  </si>
  <si>
    <t>ITBIS (18%)</t>
  </si>
  <si>
    <t>Importe (RD$)</t>
  </si>
  <si>
    <t>MKT-RB5009</t>
  </si>
  <si>
    <r>
      <rPr>
        <b/>
        <color rgb="FF0F172A"/>
        <sz val="10"/>
        <rFont val="Calibri"/>
      </rPr>
      <t>Router MikroTik RB5009UG+S+IN</t>
    </r>
    <r>
      <rPr>
        <sz val="9"/>
        <rFont val="Calibri"/>
      </rPr>
      <t xml:space="preserve">
</t>
    </r>
    <r>
      <rPr>
        <color rgb="FF64748B"/>
        <sz val="8.5"/>
        <rFont val="Calibri"/>
      </rPr>
      <t>CPU 4-core ARM, 9× Gigabit, 1× SFP+ 10G, RouterOS L5</t>
    </r>
  </si>
  <si>
    <t>FO-SM-1KM</t>
  </si>
  <si>
    <r>
      <rPr>
        <b/>
        <color rgb="FF0F172A"/>
        <sz val="10"/>
        <rFont val="Calibri"/>
      </rPr>
      <t>Cable de Fibra Óptica Single-Mode 9/125µm</t>
    </r>
    <r>
      <rPr>
        <sz val="9"/>
        <rFont val="Calibri"/>
      </rPr>
      <t xml:space="preserve">
</t>
    </r>
    <r>
      <rPr>
        <color rgb="FF64748B"/>
        <sz val="8.5"/>
        <rFont val="Calibri"/>
      </rPr>
      <t>Armado, exterior, anti-roedor — rollo 1000 m</t>
    </r>
  </si>
  <si>
    <t>SC-APC-50</t>
  </si>
  <si>
    <r>
      <rPr>
        <b/>
        <color rgb="FF0F172A"/>
        <sz val="10"/>
        <rFont val="Calibri"/>
      </rPr>
      <t>Conectores SC/APC Pre-pulidos</t>
    </r>
    <r>
      <rPr>
        <sz val="9"/>
        <rFont val="Calibri"/>
      </rPr>
      <t xml:space="preserve">
</t>
    </r>
    <r>
      <rPr>
        <color rgb="FF64748B"/>
        <sz val="8.5"/>
        <rFont val="Calibri"/>
      </rPr>
      <t>Conector mecánico, pérdida &lt;0.3 dB</t>
    </r>
  </si>
  <si>
    <t>HIK-DS-4MP</t>
  </si>
  <si>
    <r>
      <rPr>
        <b/>
        <color rgb="FF0F172A"/>
        <sz val="10"/>
        <rFont val="Calibri"/>
      </rPr>
      <t>Cámara IP HIKVISION 4MP DS-2CD2143G2</t>
    </r>
    <r>
      <rPr>
        <sz val="9"/>
        <rFont val="Calibri"/>
      </rPr>
      <t xml:space="preserve">
</t>
    </r>
    <r>
      <rPr>
        <color rgb="FF64748B"/>
        <sz val="8.5"/>
        <rFont val="Calibri"/>
      </rPr>
      <t>Bullet, IR 30m, PoE, lente 2.8mm, IP67</t>
    </r>
  </si>
  <si>
    <t>HIK-NVR16</t>
  </si>
  <si>
    <r>
      <rPr>
        <b/>
        <color rgb="FF0F172A"/>
        <sz val="10"/>
        <rFont val="Calibri"/>
      </rPr>
      <t>NVR HIKVISION DS-7616NI-K2/16P</t>
    </r>
    <r>
      <rPr>
        <sz val="9"/>
        <rFont val="Calibri"/>
      </rPr>
      <t xml:space="preserve">
</t>
    </r>
    <r>
      <rPr>
        <color rgb="FF64748B"/>
        <sz val="8.5"/>
        <rFont val="Calibri"/>
      </rPr>
      <t>16 canales, 16 puertos PoE, H.265+, 2 bahías HDD</t>
    </r>
  </si>
  <si>
    <t>HDD-WD-6TB</t>
  </si>
  <si>
    <r>
      <rPr>
        <b/>
        <color rgb="FF0F172A"/>
        <sz val="10"/>
        <rFont val="Calibri"/>
      </rPr>
      <t>Disco Duro WD Purple 6TB Surveillance</t>
    </r>
    <r>
      <rPr>
        <sz val="9"/>
        <rFont val="Calibri"/>
      </rPr>
      <t xml:space="preserve">
</t>
    </r>
    <r>
      <rPr>
        <color rgb="FF64748B"/>
        <sz val="8.5"/>
        <rFont val="Calibri"/>
      </rPr>
      <t>24/7, 256 MB caché, SATA III</t>
    </r>
  </si>
  <si>
    <t>UPS-APC15K</t>
  </si>
  <si>
    <r>
      <rPr>
        <b/>
        <color rgb="FF0F172A"/>
        <sz val="10"/>
        <rFont val="Calibri"/>
      </rPr>
      <t>UPS APC Smart-UPS 1500VA Line-Interactive</t>
    </r>
    <r>
      <rPr>
        <sz val="9"/>
        <rFont val="Calibri"/>
      </rPr>
      <t xml:space="preserve">
</t>
    </r>
    <r>
      <rPr>
        <color rgb="FF64748B"/>
        <sz val="8.5"/>
        <rFont val="Calibri"/>
      </rPr>
      <t>Salidas IEC, batería sellada, software PowerChute</t>
    </r>
  </si>
  <si>
    <t>INST-CCTV</t>
  </si>
  <si>
    <r>
      <rPr>
        <b/>
        <color rgb="FF0F172A"/>
        <sz val="10"/>
        <rFont val="Calibri"/>
      </rPr>
      <t>Servicio de Instalación y Configuración CCTV</t>
    </r>
    <r>
      <rPr>
        <sz val="9"/>
        <rFont val="Calibri"/>
      </rPr>
      <t xml:space="preserve">
</t>
    </r>
    <r>
      <rPr>
        <color rgb="FF64748B"/>
        <sz val="8.5"/>
        <rFont val="Calibri"/>
      </rPr>
      <t>Tendido cableado UTP Cat6, configuración NVR, capacitación</t>
    </r>
  </si>
  <si>
    <t>Subtotal</t>
  </si>
  <si>
    <t>Total Neto</t>
  </si>
  <si>
    <r>
      <rPr>
        <b/>
        <color rgb="FF64748B"/>
        <sz val="7.5"/>
        <rFont val="Calibri"/>
      </rPr>
      <t xml:space="preserve">Validez
</t>
    </r>
    <r>
      <rPr>
        <b/>
        <color rgb="FF0F172A"/>
        <sz val="9"/>
        <rFont val="Calibri"/>
      </rPr>
      <t>30 días desde la emisión</t>
    </r>
  </si>
  <si>
    <r>
      <rPr>
        <b/>
        <color rgb="FF64748B"/>
        <sz val="7.5"/>
        <rFont val="Calibri"/>
      </rPr>
      <t xml:space="preserve">Forma de Pago
</t>
    </r>
    <r>
      <rPr>
        <b/>
        <color rgb="FF0F172A"/>
        <sz val="9"/>
        <rFont val="Calibri"/>
      </rPr>
      <t>50% confirmación · 50% contra entrega</t>
    </r>
  </si>
  <si>
    <r>
      <rPr>
        <b/>
        <color rgb="FF64748B"/>
        <sz val="7.5"/>
        <rFont val="Calibri"/>
      </rPr>
      <t xml:space="preserve">Tiempo Entrega
</t>
    </r>
    <r>
      <rPr>
        <b/>
        <color rgb="FF0F172A"/>
        <sz val="9"/>
        <rFont val="Calibri"/>
      </rPr>
      <t>7-10 días laborables</t>
    </r>
  </si>
  <si>
    <r>
      <rPr>
        <b/>
        <color rgb="FF64748B"/>
        <sz val="7.5"/>
        <rFont val="Calibri"/>
      </rPr>
      <t xml:space="preserve">Garantía
</t>
    </r>
    <r>
      <rPr>
        <b/>
        <color rgb="FF0F172A"/>
        <sz val="9"/>
        <rFont val="Calibri"/>
      </rPr>
      <t>12 meses · defectos de fábrica</t>
    </r>
  </si>
  <si>
    <t>NOTAS DEL PROYECTO</t>
  </si>
  <si>
    <t>Proyecto: Instalación de sistema CCTV de 8 cámaras IP + tendido de fibra óptica punto a punto entre las dos sedes del cliente. La instalación incluye configuración del NVR, integración con red existente del cliente y capacitación básica al personal de TI. Garantía sobre defectos de fábrica únicamente — no cubre daños por descargas eléctricas, manipulación incorrecta ni eventos atmosféricos.</t>
  </si>
  <si>
    <t>ACEPTACIÓN DEL CLIENTE</t>
  </si>
  <si>
    <t>CRISTIAN ROSARIO</t>
  </si>
  <si>
    <t>Firma · Sello · Fecha</t>
  </si>
  <si>
    <t>Gerente de Operaciones · ACR Networks &amp; Solutions,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</si>
</sst>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&quot;RD$&quot; #,##0.00"/>
  </numFmts>
  <fonts count="29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color rgb="FF1E40AF"/>
      <sz val="8.5"/>
      <name val="Calibri"/>
    </font>
    <font>
      <color rgb="FF334155"/>
      <sz val="8.5"/>
      <name val="Calibri"/>
    </font>
    <font>
      <i/>
      <color rgb="FF64748B"/>
      <sz val="7.5"/>
      <name val="Calibri"/>
    </font>
    <font>
      <color rgb="FF64748B"/>
      <sz val="8"/>
      <name val="Calibri"/>
    </font>
    <font>
      <u/>
      <color rgb="FF1E40AF"/>
      <sz val="8"/>
      <name val="Calibri"/>
    </font>
    <font>
      <b/>
      <color rgb="FF1E293B"/>
      <sz val="16"/>
      <name val="Calibri"/>
    </font>
    <font>
      <b/>
      <color rgb="FF0F172A"/>
      <sz val="15"/>
      <name val="Consolas"/>
    </font>
    <font>
      <color rgb="FF64748B"/>
      <sz val="7.5"/>
      <name val="Calibri"/>
    </font>
    <font>
      <b/>
      <color rgb="FF475569"/>
      <sz val="7.5"/>
      <name val="Calibri"/>
    </font>
    <font>
      <b/>
      <color rgb="FF64748B"/>
      <sz val="7"/>
      <name val="Calibri"/>
    </font>
    <font>
      <b/>
      <color rgb="FF0F172A"/>
      <sz val="11"/>
      <name val="Calibri"/>
    </font>
    <font>
      <b/>
      <color rgb="FF0F172A"/>
      <sz val="10"/>
      <name val="Consolas"/>
    </font>
    <font>
      <color rgb="FF1E293B"/>
      <sz val="9"/>
      <name val="Calibri"/>
    </font>
    <font>
      <color rgb="FF475569"/>
      <sz val="8.5"/>
      <name val="Calibri"/>
    </font>
    <font>
      <b/>
      <color rgb="FF334155"/>
      <sz val="8"/>
      <name val="Calibri"/>
    </font>
    <font>
      <color rgb="FF94A3B8"/>
      <sz val="8"/>
      <name val="Calibri"/>
    </font>
    <font>
      <b/>
      <color rgb="FF1E293B"/>
      <sz val="8.5"/>
      <name val="Consolas"/>
    </font>
    <font>
      <color rgb="FF0F172A"/>
      <sz val="9.5"/>
      <name val="Consolas"/>
    </font>
    <font>
      <color rgb="FF334155"/>
      <sz val="9"/>
      <name val="Consolas"/>
    </font>
    <font>
      <b/>
      <color rgb="FF0F172A"/>
      <sz val="9.5"/>
      <name val="Consolas"/>
    </font>
    <font>
      <color rgb="FFCBD5E1"/>
      <sz val="8"/>
      <name val="Calibri"/>
    </font>
    <font>
      <b/>
      <color rgb="FF475569"/>
      <sz val="8.5"/>
      <name val="Calibri"/>
    </font>
    <font>
      <b/>
      <color rgb="FF334155"/>
      <sz val="11"/>
      <name val="Calibri"/>
    </font>
    <font>
      <b/>
      <color rgb="FF0F172A"/>
      <sz val="13"/>
      <name val="Consolas"/>
    </font>
    <font>
      <color rgb="FF334155"/>
      <sz val="9"/>
      <name val="Calibri"/>
    </font>
    <font>
      <b/>
      <color rgb="FF0F172A"/>
      <sz val="8"/>
      <name val="Calibri"/>
    </font>
    <font>
      <color rgb="FF64748B"/>
      <sz val="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BD5E1"/>
      </patternFill>
    </fill>
    <fill>
      <patternFill patternType="solid">
        <fgColor rgb="FFF1F5F9"/>
      </patternFill>
    </fill>
    <fill>
      <patternFill patternType="solid">
        <fgColor rgb="FFF8FAFC"/>
      </patternFill>
    </fill>
  </fills>
  <borders count="15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/>
      <bottom style="hair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hair">
        <color rgb="FFE2E8F0"/>
      </left>
      <right style="hair">
        <color rgb="FFE2E8F0"/>
      </right>
      <top style="thin">
        <color rgb="FFCBD5E1"/>
      </top>
      <bottom style="medium">
        <color rgb="FFCBD5E1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hair">
        <color rgb="FFE2E8F0"/>
      </left>
      <right style="hair">
        <color rgb="FFE2E8F0"/>
      </right>
      <top style="medium">
        <color rgb="FF94A3B8"/>
      </top>
      <bottom style="hair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ck">
        <color rgb="FF1E40AF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/>
      <bottom style="thin">
        <color rgb="FF0F172A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1" xfId="0" applyBorder="1"/>
    <xf numFmtId="0" fontId="7" fillId="3" borderId="2" xfId="0" applyFont="1" applyFill="1" applyBorder="1" applyAlignment="1">
      <alignment horizontal="left" vertical="center" indent="2"/>
    </xf>
    <xf numFmtId="0" fontId="8" fillId="3" borderId="2" xfId="0" applyFont="1" applyFill="1" applyBorder="1" applyAlignment="1">
      <alignment horizontal="right" vertical="center" indent="2"/>
    </xf>
    <xf numFmtId="0" fontId="9" fillId="0" borderId="0" xfId="0" applyFont="1" applyAlignment="1">
      <alignment horizontal="left" vertical="center" indent="2"/>
    </xf>
    <xf numFmtId="0" fontId="0" fillId="0" borderId="0" xfId="0" applyAlignment="1">
      <alignment horizontal="right" vertical="center" indent="2"/>
    </xf>
    <xf numFmtId="0" fontId="10" fillId="0" borderId="3" xfId="0" applyFont="1" applyBorder="1" applyAlignment="1">
      <alignment horizontal="left" vertical="center" indent="1"/>
    </xf>
    <xf numFmtId="0" fontId="11" fillId="4" borderId="4" xfId="0" applyFont="1" applyFill="1" applyBorder="1" applyAlignment="1">
      <alignment horizontal="left" vertical="center" indent="1"/>
    </xf>
    <xf numFmtId="0" fontId="12" fillId="4" borderId="5" xfId="0" applyFont="1" applyFill="1" applyBorder="1" applyAlignment="1">
      <alignment horizontal="left" vertical="center" indent="1"/>
    </xf>
    <xf numFmtId="0" fontId="13" fillId="4" borderId="5" xfId="0" applyFont="1" applyFill="1" applyBorder="1" applyAlignment="1">
      <alignment horizontal="left" vertical="center" indent="1"/>
    </xf>
    <xf numFmtId="0" fontId="14" fillId="4" borderId="5" xfId="0" applyFont="1" applyFill="1" applyBorder="1" applyAlignment="1">
      <alignment horizontal="left" vertical="center" wrapText="1" indent="1"/>
    </xf>
    <xf numFmtId="0" fontId="15" fillId="4" borderId="6" xfId="0" applyFont="1" applyFill="1" applyBorder="1" applyAlignment="1">
      <alignment horizontal="left" vertical="center" inden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left" vertical="center" wrapText="1" indent="1"/>
    </xf>
    <xf numFmtId="0" fontId="16" fillId="3" borderId="7" xfId="0" applyFont="1" applyFill="1" applyBorder="1" applyAlignment="1">
      <alignment horizontal="right" vertical="center" wrapText="1"/>
    </xf>
    <xf numFmtId="164" fontId="17" fillId="0" borderId="8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 indent="1"/>
    </xf>
    <xf numFmtId="0" fontId="0" fillId="0" borderId="8" xfId="0" applyBorder="1" applyAlignment="1">
      <alignment horizontal="left" vertical="center" wrapText="1" indent="1"/>
    </xf>
    <xf numFmtId="3" fontId="19" fillId="0" borderId="8" xfId="0" applyNumberFormat="1" applyFont="1" applyBorder="1" applyAlignment="1">
      <alignment horizontal="center" vertical="center"/>
    </xf>
    <xf numFmtId="4" fontId="19" fillId="0" borderId="8" xfId="0" applyNumberFormat="1" applyFont="1" applyBorder="1" applyAlignment="1">
      <alignment horizontal="right" vertical="center" indent="1"/>
    </xf>
    <xf numFmtId="4" fontId="20" fillId="0" borderId="8" xfId="0" applyNumberFormat="1" applyFont="1" applyBorder="1" applyAlignment="1">
      <alignment horizontal="right" vertical="center" indent="1"/>
    </xf>
    <xf numFmtId="4" fontId="21" fillId="0" borderId="8" xfId="0" applyNumberFormat="1" applyFont="1" applyBorder="1" applyAlignment="1">
      <alignment horizontal="right" vertical="center" indent="1"/>
    </xf>
    <xf numFmtId="164" fontId="17" fillId="4" borderId="8" xfId="0" applyNumberFormat="1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left" vertical="center" indent="1"/>
    </xf>
    <xf numFmtId="0" fontId="0" fillId="4" borderId="8" xfId="0" applyFill="1" applyBorder="1" applyAlignment="1">
      <alignment horizontal="left" vertical="center" wrapText="1" indent="1"/>
    </xf>
    <xf numFmtId="3" fontId="19" fillId="4" borderId="8" xfId="0" applyNumberFormat="1" applyFont="1" applyFill="1" applyBorder="1" applyAlignment="1">
      <alignment horizontal="center" vertical="center"/>
    </xf>
    <xf numFmtId="4" fontId="19" fillId="4" borderId="8" xfId="0" applyNumberFormat="1" applyFont="1" applyFill="1" applyBorder="1" applyAlignment="1">
      <alignment horizontal="right" vertical="center" indent="1"/>
    </xf>
    <xf numFmtId="4" fontId="20" fillId="4" borderId="8" xfId="0" applyNumberFormat="1" applyFont="1" applyFill="1" applyBorder="1" applyAlignment="1">
      <alignment horizontal="right" vertical="center" indent="1"/>
    </xf>
    <xf numFmtId="4" fontId="21" fillId="4" borderId="8" xfId="0" applyNumberFormat="1" applyFont="1" applyFill="1" applyBorder="1" applyAlignment="1">
      <alignment horizontal="right" vertical="center" indent="1"/>
    </xf>
    <xf numFmtId="164" fontId="22" fillId="0" borderId="8" xfId="0" applyNumberFormat="1" applyFont="1" applyBorder="1" applyAlignment="1">
      <alignment horizontal="center" vertical="center"/>
    </xf>
    <xf numFmtId="0" fontId="0" fillId="0" borderId="8" xfId="0" applyBorder="1"/>
    <xf numFmtId="0" fontId="23" fillId="0" borderId="8" xfId="0" applyFont="1" applyBorder="1" applyAlignment="1">
      <alignment horizontal="right" vertical="center" indent="1"/>
    </xf>
    <xf numFmtId="165" fontId="13" fillId="0" borderId="8" xfId="0" applyNumberFormat="1" applyFont="1" applyBorder="1" applyAlignment="1">
      <alignment horizontal="right" vertical="center" indent="1"/>
    </xf>
    <xf numFmtId="0" fontId="24" fillId="3" borderId="9" xfId="0" applyFont="1" applyFill="1" applyBorder="1" applyAlignment="1">
      <alignment horizontal="right" vertical="center" indent="1"/>
    </xf>
    <xf numFmtId="165" fontId="25" fillId="3" borderId="9" xfId="0" applyNumberFormat="1" applyFont="1" applyFill="1" applyBorder="1" applyAlignment="1">
      <alignment horizontal="right" vertical="center" indent="1"/>
    </xf>
    <xf numFmtId="0" fontId="0" fillId="4" borderId="10" xfId="0" applyFill="1" applyBorder="1" applyAlignment="1">
      <alignment horizontal="left" vertical="center" wrapText="1" indent="1"/>
    </xf>
    <xf numFmtId="0" fontId="0" fillId="4" borderId="11" xfId="0" applyFill="1" applyBorder="1" applyAlignment="1">
      <alignment horizontal="left" vertical="center" wrapText="1" indent="1"/>
    </xf>
    <xf numFmtId="0" fontId="16" fillId="4" borderId="12" xfId="0" applyFont="1" applyFill="1" applyBorder="1" applyAlignment="1">
      <alignment horizontal="left" vertical="center" indent="1"/>
    </xf>
    <xf numFmtId="0" fontId="26" fillId="4" borderId="13" xfId="0" applyFont="1" applyFill="1" applyBorder="1" applyAlignment="1">
      <alignment horizontal="left" vertical="top" wrapText="1" indent="1"/>
    </xf>
    <xf numFmtId="0" fontId="0" fillId="0" borderId="14" xfId="0" applyBorder="1"/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5000</xdr:colOff>
      <xdr:row>1</xdr:row>
      <xdr:rowOff>18000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1</xdr:col>
      <xdr:colOff>0</xdr:colOff>
      <xdr:row>16</xdr:row>
      <xdr:rowOff>140000</xdr:rowOff>
    </xdr:from>
    <xdr:ext cx="5143500" cy="1333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  <pageSetUpPr fitToPage="1"/>
  </sheetPr>
  <dimension ref="A1:G40"/>
  <sheetViews>
    <sheetView workbookViewId="0" showGridLines="0" zoomScale="110"/>
  </sheetViews>
  <sheetFormatPr defaultRowHeight="15" outlineLevelRow="0" outlineLevelCol="0" x14ac:dyDescent="55"/>
  <cols>
    <col min="1" max="1" width="5" customWidth="1"/>
    <col min="2" max="2" width="14" customWidth="1"/>
    <col min="3" max="3" width="44" customWidth="1"/>
    <col min="5" max="5" width="14" customWidth="1"/>
    <col min="6" max="6" width="12" customWidth="1"/>
    <col min="7" max="7" width="15" customWidth="1"/>
  </cols>
  <sheetData>
    <row r="1" ht="4" customHeight="1" spans="1:7" x14ac:dyDescent="0.25">
      <c r="A1" s="1"/>
      <c r="B1" s="1"/>
      <c r="C1" s="1"/>
      <c r="D1" s="1"/>
      <c r="E1" s="1"/>
      <c r="F1" s="1"/>
      <c r="G1" s="1"/>
    </row>
    <row r="2" ht="18" customHeight="1" spans="2:7" x14ac:dyDescent="0.25">
      <c r="B2" s="2" t="s">
        <v>0</v>
      </c>
      <c r="C2" s="2"/>
      <c r="D2" s="2"/>
      <c r="E2" s="3" t="s">
        <v>1</v>
      </c>
      <c r="F2" s="3"/>
      <c r="G2" s="3"/>
    </row>
    <row r="3" ht="14" customHeight="1" spans="2:7" x14ac:dyDescent="0.25">
      <c r="B3" s="4" t="s">
        <v>2</v>
      </c>
      <c r="C3" s="4"/>
      <c r="D3" s="4"/>
      <c r="E3" s="5" t="s">
        <v>3</v>
      </c>
      <c r="F3" s="5"/>
      <c r="G3" s="5"/>
    </row>
    <row r="4" ht="14" customHeight="1" spans="2:7" x14ac:dyDescent="0.25">
      <c r="B4" s="6" t="s">
        <v>4</v>
      </c>
      <c r="C4" s="6"/>
      <c r="D4" s="6"/>
      <c r="E4" s="7" t="s">
        <v>5</v>
      </c>
      <c r="F4" s="7"/>
      <c r="G4" s="7"/>
    </row>
    <row r="5" ht="14" customHeight="1" spans="2:7" x14ac:dyDescent="0.25">
      <c r="B5" t="s">
        <v>6</v>
      </c>
      <c r="C5"/>
      <c r="D5"/>
      <c r="E5" s="8" t="s">
        <v>7</v>
      </c>
      <c r="F5" s="8"/>
      <c r="G5" s="8"/>
    </row>
    <row r="6" ht="3" customHeight="1" spans="1:7" x14ac:dyDescent="0.25">
      <c r="A6" s="9"/>
      <c r="B6" s="9"/>
      <c r="C6" s="9"/>
      <c r="D6" s="9"/>
      <c r="E6" s="9"/>
      <c r="F6" s="9"/>
      <c r="G6" s="9"/>
    </row>
    <row r="7" ht="30" customHeight="1" spans="1:7" x14ac:dyDescent="0.25">
      <c r="A7" s="10" t="s">
        <v>8</v>
      </c>
      <c r="B7" s="10"/>
      <c r="C7" s="10"/>
      <c r="D7" s="11" t="s">
        <v>9</v>
      </c>
      <c r="E7" s="11"/>
      <c r="F7" s="11"/>
      <c r="G7" s="11"/>
    </row>
    <row r="8" ht="16" customHeight="1" spans="1:7" x14ac:dyDescent="0.25">
      <c r="A8" s="12" t="s">
        <v>10</v>
      </c>
      <c r="B8" s="12"/>
      <c r="C8" s="12"/>
      <c r="D8" s="13" t="s">
        <v>11</v>
      </c>
      <c r="E8" s="13"/>
      <c r="F8" s="13"/>
      <c r="G8" s="13"/>
    </row>
    <row r="9" ht="10" customHeight="1" x14ac:dyDescent="0.25"/>
    <row r="10" ht="14" customHeight="1" spans="1:7" x14ac:dyDescent="0.25">
      <c r="A10" s="14" t="s">
        <v>12</v>
      </c>
      <c r="B10" s="14"/>
      <c r="C10" s="14"/>
      <c r="D10" s="14"/>
      <c r="E10" s="14"/>
      <c r="F10" s="14"/>
      <c r="G10" s="14"/>
    </row>
    <row r="11" ht="14" customHeight="1" spans="1:7" x14ac:dyDescent="0.25">
      <c r="A11" s="15" t="s">
        <v>13</v>
      </c>
      <c r="B11" s="15"/>
      <c r="C11" s="15"/>
      <c r="D11" s="15" t="s">
        <v>14</v>
      </c>
      <c r="E11" s="15"/>
      <c r="F11" s="15" t="s">
        <v>15</v>
      </c>
      <c r="G11" s="15"/>
    </row>
    <row r="12" ht="18" customHeight="1" spans="1:7" x14ac:dyDescent="0.25">
      <c r="A12" s="16" t="s">
        <v>16</v>
      </c>
      <c r="B12" s="16"/>
      <c r="C12" s="16"/>
      <c r="D12" s="17" t="s">
        <v>17</v>
      </c>
      <c r="E12" s="17"/>
      <c r="F12" s="18" t="s">
        <v>18</v>
      </c>
      <c r="G12" s="18"/>
    </row>
    <row r="13" ht="16" customHeight="1" spans="1:7" x14ac:dyDescent="0.25">
      <c r="A13" s="19" t="s">
        <v>19</v>
      </c>
      <c r="B13" s="19"/>
      <c r="C13" s="19"/>
      <c r="D13" s="19" t="s">
        <v>20</v>
      </c>
      <c r="E13" s="19"/>
      <c r="F13" s="19" t="s">
        <v>21</v>
      </c>
      <c r="G13" s="19"/>
    </row>
    <row r="14" ht="12" customHeight="1" x14ac:dyDescent="0.25"/>
    <row r="15" ht="14" customHeight="1" spans="1:7" x14ac:dyDescent="0.25">
      <c r="A15" s="14" t="s">
        <v>22</v>
      </c>
      <c r="B15" s="14"/>
      <c r="C15" s="14"/>
      <c r="D15" s="14"/>
      <c r="E15" s="14"/>
      <c r="F15" s="14"/>
      <c r="G15" s="14"/>
    </row>
    <row r="16" ht="24" customHeight="1" spans="1:7" x14ac:dyDescent="0.25">
      <c r="A16" s="20" t="s">
        <v>23</v>
      </c>
      <c r="B16" s="21" t="s">
        <v>24</v>
      </c>
      <c r="C16" s="21" t="s">
        <v>25</v>
      </c>
      <c r="D16" s="20" t="s">
        <v>26</v>
      </c>
      <c r="E16" s="22" t="s">
        <v>27</v>
      </c>
      <c r="F16" s="22" t="s">
        <v>28</v>
      </c>
      <c r="G16" s="22" t="s">
        <v>29</v>
      </c>
    </row>
    <row r="17" ht="28" customHeight="1" spans="1:7" x14ac:dyDescent="0.25">
      <c r="A17" s="23">
        <v>1</v>
      </c>
      <c r="B17" s="24" t="s">
        <v>30</v>
      </c>
      <c r="C17" s="25" t="s">
        <v>31</v>
      </c>
      <c r="D17" s="26">
        <v>1</v>
      </c>
      <c r="E17" s="27">
        <v>24500</v>
      </c>
      <c r="F17" s="28">
        <f>IFERROR(D17*E17*0.18,0)</f>
        <v>4410</v>
      </c>
      <c r="G17" s="29">
        <f>IFERROR(D17*E17,0)</f>
        <v>24500</v>
      </c>
    </row>
    <row r="18" ht="28" customHeight="1" spans="1:7" x14ac:dyDescent="0.25">
      <c r="A18" s="30">
        <v>2</v>
      </c>
      <c r="B18" s="31" t="s">
        <v>32</v>
      </c>
      <c r="C18" s="32" t="s">
        <v>33</v>
      </c>
      <c r="D18" s="33">
        <v>1500</v>
      </c>
      <c r="E18" s="34">
        <v>78</v>
      </c>
      <c r="F18" s="35">
        <f>IFERROR(D18*E18*0.18,0)</f>
        <v>21060</v>
      </c>
      <c r="G18" s="36">
        <f>IFERROR(D18*E18,0)</f>
        <v>117000</v>
      </c>
    </row>
    <row r="19" ht="28" customHeight="1" spans="1:7" x14ac:dyDescent="0.25">
      <c r="A19" s="23">
        <v>3</v>
      </c>
      <c r="B19" s="24" t="s">
        <v>34</v>
      </c>
      <c r="C19" s="25" t="s">
        <v>35</v>
      </c>
      <c r="D19" s="26">
        <v>50</v>
      </c>
      <c r="E19" s="27">
        <v>145</v>
      </c>
      <c r="F19" s="28">
        <f>IFERROR(D19*E19*0.18,0)</f>
        <v>1305</v>
      </c>
      <c r="G19" s="29">
        <f>IFERROR(D19*E19,0)</f>
        <v>7250</v>
      </c>
    </row>
    <row r="20" ht="28" customHeight="1" spans="1:7" x14ac:dyDescent="0.25">
      <c r="A20" s="30">
        <v>4</v>
      </c>
      <c r="B20" s="31" t="s">
        <v>36</v>
      </c>
      <c r="C20" s="32" t="s">
        <v>37</v>
      </c>
      <c r="D20" s="33">
        <v>8</v>
      </c>
      <c r="E20" s="34">
        <v>6850</v>
      </c>
      <c r="F20" s="35">
        <f>IFERROR(D20*E20*0.18,0)</f>
        <v>9864</v>
      </c>
      <c r="G20" s="36">
        <f>IFERROR(D20*E20,0)</f>
        <v>54800</v>
      </c>
    </row>
    <row r="21" ht="28" customHeight="1" spans="1:7" x14ac:dyDescent="0.25">
      <c r="A21" s="23">
        <v>5</v>
      </c>
      <c r="B21" s="24" t="s">
        <v>38</v>
      </c>
      <c r="C21" s="25" t="s">
        <v>39</v>
      </c>
      <c r="D21" s="26">
        <v>1</v>
      </c>
      <c r="E21" s="27">
        <v>21500</v>
      </c>
      <c r="F21" s="28">
        <f>IFERROR(D21*E21*0.18,0)</f>
        <v>3870</v>
      </c>
      <c r="G21" s="29">
        <f>IFERROR(D21*E21,0)</f>
        <v>21500</v>
      </c>
    </row>
    <row r="22" ht="28" customHeight="1" spans="1:7" x14ac:dyDescent="0.25">
      <c r="A22" s="30">
        <v>6</v>
      </c>
      <c r="B22" s="31" t="s">
        <v>40</v>
      </c>
      <c r="C22" s="32" t="s">
        <v>41</v>
      </c>
      <c r="D22" s="33">
        <v>2</v>
      </c>
      <c r="E22" s="34">
        <v>7950</v>
      </c>
      <c r="F22" s="35">
        <f>IFERROR(D22*E22*0.18,0)</f>
        <v>2862</v>
      </c>
      <c r="G22" s="36">
        <f>IFERROR(D22*E22,0)</f>
        <v>15900</v>
      </c>
    </row>
    <row r="23" ht="28" customHeight="1" spans="1:7" x14ac:dyDescent="0.25">
      <c r="A23" s="23">
        <v>7</v>
      </c>
      <c r="B23" s="24" t="s">
        <v>42</v>
      </c>
      <c r="C23" s="25" t="s">
        <v>43</v>
      </c>
      <c r="D23" s="26">
        <v>1</v>
      </c>
      <c r="E23" s="27">
        <v>18500</v>
      </c>
      <c r="F23" s="28">
        <f>IFERROR(D23*E23*0.18,0)</f>
        <v>3330</v>
      </c>
      <c r="G23" s="29">
        <f>IFERROR(D23*E23,0)</f>
        <v>18500</v>
      </c>
    </row>
    <row r="24" ht="28" customHeight="1" spans="1:7" x14ac:dyDescent="0.25">
      <c r="A24" s="30">
        <v>8</v>
      </c>
      <c r="B24" s="31" t="s">
        <v>44</v>
      </c>
      <c r="C24" s="32" t="s">
        <v>45</v>
      </c>
      <c r="D24" s="33">
        <v>1</v>
      </c>
      <c r="E24" s="34">
        <v>35000</v>
      </c>
      <c r="F24" s="35">
        <f>IFERROR(D24*E24*0.18,0)</f>
        <v>6300</v>
      </c>
      <c r="G24" s="36">
        <f>IFERROR(D24*E24,0)</f>
        <v>35000</v>
      </c>
    </row>
    <row r="25" ht="20" customHeight="1" spans="1:7" x14ac:dyDescent="0.25">
      <c r="A25" s="37">
        <v>9</v>
      </c>
      <c r="B25" s="38"/>
      <c r="C25" s="38"/>
      <c r="D25" s="38"/>
      <c r="E25" s="38"/>
      <c r="F25" s="28">
        <f>IFERROR(D25*E25*0.18,0)</f>
        <v>0</v>
      </c>
      <c r="G25" s="29">
        <f>IFERROR(D25*E25,0)</f>
        <v>0</v>
      </c>
    </row>
    <row r="26" ht="20" customHeight="1" spans="1:7" x14ac:dyDescent="0.25">
      <c r="A26" s="37">
        <v>10</v>
      </c>
      <c r="B26" s="38"/>
      <c r="C26" s="38"/>
      <c r="D26" s="38"/>
      <c r="E26" s="38"/>
      <c r="F26" s="28">
        <f>IFERROR(D26*E26*0.18,0)</f>
        <v>0</v>
      </c>
      <c r="G26" s="29">
        <f>IFERROR(D26*E26,0)</f>
        <v>0</v>
      </c>
    </row>
    <row r="27" ht="20" customHeight="1" spans="1:7" x14ac:dyDescent="0.25">
      <c r="A27" s="37">
        <v>11</v>
      </c>
      <c r="B27" s="38"/>
      <c r="C27" s="38"/>
      <c r="D27" s="38"/>
      <c r="E27" s="38"/>
      <c r="F27" s="28">
        <f>IFERROR(D27*E27*0.18,0)</f>
        <v>0</v>
      </c>
      <c r="G27" s="29">
        <f>IFERROR(D27*E27,0)</f>
        <v>0</v>
      </c>
    </row>
    <row r="28" ht="8" customHeight="1" x14ac:dyDescent="0.25"/>
    <row r="29" ht="22" customHeight="1" spans="5:7" x14ac:dyDescent="0.25">
      <c r="E29" s="39" t="s">
        <v>46</v>
      </c>
      <c r="F29" s="39"/>
      <c r="G29" s="40">
        <f>SUM(G17:G27)</f>
        <v>294450</v>
      </c>
    </row>
    <row r="30" ht="22" customHeight="1" spans="5:7" x14ac:dyDescent="0.25">
      <c r="E30" s="39" t="s">
        <v>28</v>
      </c>
      <c r="F30" s="39"/>
      <c r="G30" s="40">
        <f>SUM(F17:F27)</f>
        <v>53001</v>
      </c>
    </row>
    <row r="31" ht="28" customHeight="1" spans="5:7" x14ac:dyDescent="0.25">
      <c r="E31" s="41" t="s">
        <v>47</v>
      </c>
      <c r="F31" s="41"/>
      <c r="G31" s="42">
        <f>G29+G30</f>
        <v>347451</v>
      </c>
    </row>
    <row r="32" ht="12" customHeight="1" x14ac:dyDescent="0.25"/>
    <row r="33" ht="30" customHeight="1" spans="1:7" x14ac:dyDescent="0.25">
      <c r="A33" s="43" t="s">
        <v>48</v>
      </c>
      <c r="B33" s="43"/>
      <c r="C33" s="44" t="s">
        <v>49</v>
      </c>
      <c r="D33" s="43" t="s">
        <v>50</v>
      </c>
      <c r="E33" s="43"/>
      <c r="F33" s="43" t="s">
        <v>51</v>
      </c>
      <c r="G33" s="43"/>
    </row>
    <row r="34" ht="12" customHeight="1" x14ac:dyDescent="0.25"/>
    <row r="35" ht="14" customHeight="1" spans="1:7" x14ac:dyDescent="0.25">
      <c r="A35" s="45" t="s">
        <v>52</v>
      </c>
      <c r="B35" s="45"/>
      <c r="C35" s="45"/>
      <c r="D35" s="45"/>
      <c r="E35" s="45"/>
      <c r="F35" s="45"/>
      <c r="G35" s="45"/>
    </row>
    <row r="36" ht="50" customHeight="1" spans="1:7" x14ac:dyDescent="0.25">
      <c r="A36" s="46" t="s">
        <v>53</v>
      </c>
      <c r="B36" s="46"/>
      <c r="C36" s="46"/>
      <c r="D36" s="46"/>
      <c r="E36" s="46"/>
      <c r="F36" s="46"/>
      <c r="G36" s="46"/>
    </row>
    <row r="37" ht="18" customHeight="1" x14ac:dyDescent="0.25"/>
    <row r="38" ht="44" customHeight="1" spans="1:7" x14ac:dyDescent="0.25">
      <c r="A38" s="47"/>
      <c r="B38" s="47"/>
      <c r="C38" s="47"/>
      <c r="E38" s="47"/>
      <c r="F38" s="47"/>
      <c r="G38" s="47"/>
    </row>
    <row r="39" ht="14" customHeight="1" spans="1:7" x14ac:dyDescent="0.25">
      <c r="A39" s="48" t="s">
        <v>54</v>
      </c>
      <c r="B39" s="48"/>
      <c r="C39" s="48"/>
      <c r="E39" s="48" t="s">
        <v>55</v>
      </c>
      <c r="F39" s="48"/>
      <c r="G39" s="48"/>
    </row>
    <row r="40" ht="12" customHeight="1" spans="1:7" x14ac:dyDescent="0.25">
      <c r="A40" s="49" t="s">
        <v>56</v>
      </c>
      <c r="B40" s="49"/>
      <c r="C40" s="49"/>
      <c r="E40" s="49" t="s">
        <v>57</v>
      </c>
      <c r="F40" s="49"/>
      <c r="G40" s="49"/>
    </row>
  </sheetData>
  <mergeCells count="39">
    <mergeCell ref="A1:G1"/>
    <mergeCell ref="B2:D2"/>
    <mergeCell ref="E2:G2"/>
    <mergeCell ref="B3:D3"/>
    <mergeCell ref="E3:G3"/>
    <mergeCell ref="B4:D4"/>
    <mergeCell ref="E4:G4"/>
    <mergeCell ref="B5:D5"/>
    <mergeCell ref="E5:G5"/>
    <mergeCell ref="A6:G6"/>
    <mergeCell ref="A7:C7"/>
    <mergeCell ref="D7:G7"/>
    <mergeCell ref="A8:C8"/>
    <mergeCell ref="D8:G8"/>
    <mergeCell ref="A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5:G15"/>
    <mergeCell ref="E29:F29"/>
    <mergeCell ref="E30:F30"/>
    <mergeCell ref="E31:F31"/>
    <mergeCell ref="A33:B33"/>
    <mergeCell ref="D33:E33"/>
    <mergeCell ref="F33:G33"/>
    <mergeCell ref="A35:G35"/>
    <mergeCell ref="A36:G36"/>
    <mergeCell ref="A38:C38"/>
    <mergeCell ref="E38:G38"/>
    <mergeCell ref="A39:C39"/>
    <mergeCell ref="E39:G39"/>
    <mergeCell ref="A40:C40"/>
    <mergeCell ref="E40:G40"/>
  </mergeCells>
  <printOptions horizontalCentered="1"/>
  <pageMargins left="0.4" right="0.4" top="0.35" bottom="0.45" header="0.2" footer="0.25"/>
  <pageSetup paperSize="1" orientation="portrait" horizontalDpi="4294967295" verticalDpi="4294967295" scale="100" fitToWidth="1" fitToHeight="0"/>
  <headerFooter>
    <oddFooter>&amp;L&amp;7&amp;K475569ACR Networks &amp; Solutions, SRL · RNC 1-32-12345-6&amp;C&amp;7&amp;K94A3B8Documento Electrónico Verificable · https://acrnetworks.do&amp;R&amp;7&amp;K94A3B8Página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Cotización</vt:lpstr>
    </vt:vector>
  </TitlesOfParts>
  <Company>ACR Networks &amp; Solutions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Networks &amp; Solutions</dc:creator>
  <dc:title>Cotización COT-2026-0521-001</dc:title>
  <dc:subject>Cotización editable offline · paridad PDF</dc:subject>
  <dc:description/>
  <cp:keywords>cotizacion, ACR, offline, plantilla</cp:keywords>
  <cp:category/>
  <cp:lastModifiedBy>Unknown</cp:lastModifiedBy>
  <dcterms:created xsi:type="dcterms:W3CDTF">2026-05-22T02:01:27Z</dcterms:created>
  <dcterms:modified xsi:type="dcterms:W3CDTF">2026-05-22T02:01:27Z</dcterms:modified>
</cp:coreProperties>
</file>